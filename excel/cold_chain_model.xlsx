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8640cd57035239/Desktop/cold_chain_project/"/>
    </mc:Choice>
  </mc:AlternateContent>
  <xr:revisionPtr revIDLastSave="562" documentId="8_{9B2B3A13-77E2-4AC0-B3A0-3AF35B40E4C3}" xr6:coauthVersionLast="47" xr6:coauthVersionMax="47" xr10:uidLastSave="{F30DC3F1-7E9D-497B-AB3A-8C4D13E195D2}"/>
  <bookViews>
    <workbookView xWindow="-98" yWindow="-98" windowWidth="21795" windowHeight="12975" firstSheet="3" activeTab="7" xr2:uid="{DAF99E38-2E8B-4198-9211-862325594734}"/>
  </bookViews>
  <sheets>
    <sheet name="raw data" sheetId="1" r:id="rId1"/>
    <sheet name="lookup vendor" sheetId="2" r:id="rId2"/>
    <sheet name="lookup route" sheetId="3" r:id="rId3"/>
    <sheet name="lookup season" sheetId="4" r:id="rId4"/>
    <sheet name="lookup product" sheetId="5" r:id="rId5"/>
    <sheet name="model" sheetId="6" r:id="rId6"/>
    <sheet name="savings calculator" sheetId="9" r:id="rId7"/>
    <sheet name="methodology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9" l="1"/>
  <c r="B17" i="9"/>
  <c r="B16" i="9" a="1"/>
  <c r="B16" i="9" s="1"/>
  <c r="B15" i="9"/>
  <c r="B12" i="9"/>
  <c r="B11" i="9"/>
  <c r="B13" i="9"/>
  <c r="B10" i="9"/>
  <c r="B9" i="9"/>
  <c r="B8" i="9"/>
  <c r="B7" i="9"/>
  <c r="B6" i="9" a="1"/>
  <c r="B6" i="9" s="1"/>
  <c r="B5" i="9"/>
  <c r="B4" i="9"/>
  <c r="B3" i="9"/>
  <c r="G2" i="2" a="1"/>
  <c r="G2" i="2" s="1"/>
  <c r="D3" i="6"/>
  <c r="E3" i="6" s="1"/>
  <c r="D4" i="6"/>
  <c r="E4" i="6" s="1"/>
  <c r="D5" i="6"/>
  <c r="E5" i="6" s="1"/>
  <c r="D6" i="6"/>
  <c r="E6" i="6" s="1"/>
  <c r="D2" i="6"/>
  <c r="E2" i="6" s="1"/>
  <c r="B9" i="6"/>
  <c r="E2" i="5" a="1"/>
  <c r="E2" i="5" s="1"/>
  <c r="D3" i="5"/>
  <c r="D4" i="5"/>
  <c r="D5" i="5"/>
  <c r="D6" i="5"/>
  <c r="D2" i="5"/>
  <c r="C2" i="5" a="1"/>
  <c r="C2" i="5" s="1"/>
  <c r="B2" i="5" a="1"/>
  <c r="B2" i="5" s="1"/>
  <c r="E2" i="4" a="1"/>
  <c r="E2" i="4" s="1"/>
  <c r="D3" i="4"/>
  <c r="D4" i="4"/>
  <c r="D5" i="4"/>
  <c r="D2" i="4"/>
  <c r="C2" i="4" a="1"/>
  <c r="C2" i="4" s="1"/>
  <c r="D3" i="3"/>
  <c r="D4" i="3"/>
  <c r="D5" i="3"/>
  <c r="D6" i="3"/>
  <c r="D7" i="3"/>
  <c r="D8" i="3"/>
  <c r="D9" i="3"/>
  <c r="D2" i="3"/>
  <c r="C2" i="3" a="1"/>
  <c r="C2" i="3" s="1"/>
  <c r="C2" i="2" a="1"/>
  <c r="C2" i="2" s="1"/>
  <c r="D2" i="2" s="1"/>
  <c r="B2" i="4" a="1"/>
  <c r="B2" i="4" s="1"/>
  <c r="E2" i="3" a="1"/>
  <c r="E2" i="3" s="1"/>
  <c r="B2" i="3" a="1"/>
  <c r="B2" i="3" s="1"/>
  <c r="F2" i="2" a="1"/>
  <c r="F2" i="2" s="1"/>
  <c r="E2" i="2" a="1"/>
  <c r="E2" i="2" s="1"/>
  <c r="D3" i="2"/>
  <c r="D4" i="2"/>
  <c r="D5" i="2"/>
  <c r="D6" i="2"/>
  <c r="B2" i="2" a="1"/>
  <c r="B2" i="2" s="1"/>
  <c r="F2" i="6" l="1"/>
  <c r="F4" i="6"/>
  <c r="F3" i="6"/>
  <c r="F6" i="6"/>
  <c r="F5" i="6"/>
  <c r="B11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<sst xmlns="http://schemas.openxmlformats.org/spreadsheetml/2006/main" count="3989" uniqueCount="591">
  <si>
    <t>Shipment_ID</t>
  </si>
  <si>
    <t>Product</t>
  </si>
  <si>
    <t>Route</t>
  </si>
  <si>
    <t>Vendor</t>
  </si>
  <si>
    <t>Dispatch_Timestamp</t>
  </si>
  <si>
    <t>Delivery_Timestamp</t>
  </si>
  <si>
    <t>Transit_Hours</t>
  </si>
  <si>
    <t>Avg_Temperature_C</t>
  </si>
  <si>
    <t>Max_Temperature_C</t>
  </si>
  <si>
    <t>Min_Temperature_C</t>
  </si>
  <si>
    <t>Breach_Hours</t>
  </si>
  <si>
    <t>Batch_Value_Lakhs</t>
  </si>
  <si>
    <t>Destination</t>
  </si>
  <si>
    <t>Compliance_Status</t>
  </si>
  <si>
    <t>Num_Temp_Readings</t>
  </si>
  <si>
    <t>Month</t>
  </si>
  <si>
    <t>Month_Name</t>
  </si>
  <si>
    <t>Season</t>
  </si>
  <si>
    <t>Value_At_Risk</t>
  </si>
  <si>
    <t>SHP-1381</t>
  </si>
  <si>
    <t>Adalimumab</t>
  </si>
  <si>
    <t>Mumbai-Hyderabad</t>
  </si>
  <si>
    <t>ChillChain Pvt Ltd</t>
  </si>
  <si>
    <t>Chennai</t>
  </si>
  <si>
    <t>Compliant</t>
  </si>
  <si>
    <t>January</t>
  </si>
  <si>
    <t>Winter</t>
  </si>
  <si>
    <t>SHP-1200</t>
  </si>
  <si>
    <t>Insulin</t>
  </si>
  <si>
    <t>MediCargo Express</t>
  </si>
  <si>
    <t>Kolkata</t>
  </si>
  <si>
    <t>July</t>
  </si>
  <si>
    <t>Monsoon</t>
  </si>
  <si>
    <t>SHP-1314</t>
  </si>
  <si>
    <t>Mumbai-Delhi</t>
  </si>
  <si>
    <t>Hyderabad</t>
  </si>
  <si>
    <t>SHP-1039</t>
  </si>
  <si>
    <t>Trastuzumab</t>
  </si>
  <si>
    <t>Delhi-Jaipur</t>
  </si>
  <si>
    <t>Non-Compliant</t>
  </si>
  <si>
    <t>June</t>
  </si>
  <si>
    <t>SHP-1317</t>
  </si>
  <si>
    <t>Delhi-Kolkata</t>
  </si>
  <si>
    <t>Unknown</t>
  </si>
  <si>
    <t>Jaipur</t>
  </si>
  <si>
    <t>March</t>
  </si>
  <si>
    <t>Summer</t>
  </si>
  <si>
    <t>SHP-1251</t>
  </si>
  <si>
    <t>Hepatitis-B Vaccine</t>
  </si>
  <si>
    <t>SHP-1131</t>
  </si>
  <si>
    <t>BioShip Solutions</t>
  </si>
  <si>
    <t>SHP-1289</t>
  </si>
  <si>
    <t>MMR Vaccine</t>
  </si>
  <si>
    <t>Chennai-Bangalore</t>
  </si>
  <si>
    <t>December</t>
  </si>
  <si>
    <t>SHP-1326</t>
  </si>
  <si>
    <t>PharmaFreight Inc</t>
  </si>
  <si>
    <t>Delhi</t>
  </si>
  <si>
    <t>August</t>
  </si>
  <si>
    <t>SHP-1207</t>
  </si>
  <si>
    <t>SHP-1095</t>
  </si>
  <si>
    <t>October</t>
  </si>
  <si>
    <t>Post-Monsoon</t>
  </si>
  <si>
    <t>SHP-1181</t>
  </si>
  <si>
    <t>SHP-1217</t>
  </si>
  <si>
    <t>February</t>
  </si>
  <si>
    <t>SHP-1433</t>
  </si>
  <si>
    <t>May</t>
  </si>
  <si>
    <t>SHP-1254</t>
  </si>
  <si>
    <t>April</t>
  </si>
  <si>
    <t>SHP-1372</t>
  </si>
  <si>
    <t>SHP-1238</t>
  </si>
  <si>
    <t>SHP-1291</t>
  </si>
  <si>
    <t>Bangalore-Chennai</t>
  </si>
  <si>
    <t>SHP-1247</t>
  </si>
  <si>
    <t>Mumbai</t>
  </si>
  <si>
    <t>September</t>
  </si>
  <si>
    <t>SHP-1089</t>
  </si>
  <si>
    <t>ColdEx Logistics</t>
  </si>
  <si>
    <t>Guwahati</t>
  </si>
  <si>
    <t>SHP-1306</t>
  </si>
  <si>
    <t>SHP-1443</t>
  </si>
  <si>
    <t>Hyderabad-Mumbai</t>
  </si>
  <si>
    <t>SHP-1180</t>
  </si>
  <si>
    <t>SHP-1071</t>
  </si>
  <si>
    <t>SHP-1276</t>
  </si>
  <si>
    <t>SHP-1261</t>
  </si>
  <si>
    <t>SHP-1340</t>
  </si>
  <si>
    <t>SHP-1078</t>
  </si>
  <si>
    <t>November</t>
  </si>
  <si>
    <t>SHP-1434</t>
  </si>
  <si>
    <t>SHP-1262</t>
  </si>
  <si>
    <t>SHP-1240</t>
  </si>
  <si>
    <t>Kolkata-Guwahati</t>
  </si>
  <si>
    <t>SHP-1382</t>
  </si>
  <si>
    <t>SHP-1336</t>
  </si>
  <si>
    <t>SHP-1398</t>
  </si>
  <si>
    <t>SHP-1410</t>
  </si>
  <si>
    <t>SHP-1475</t>
  </si>
  <si>
    <t>SHP-1441</t>
  </si>
  <si>
    <t>SHP-1312</t>
  </si>
  <si>
    <t>SHP-1346</t>
  </si>
  <si>
    <t>SHP-1098</t>
  </si>
  <si>
    <t>SHP-1256</t>
  </si>
  <si>
    <t>SHP-1386</t>
  </si>
  <si>
    <t>SHP-1062</t>
  </si>
  <si>
    <t>Bangalore</t>
  </si>
  <si>
    <t>SHP-1293</t>
  </si>
  <si>
    <t>SHP-1272</t>
  </si>
  <si>
    <t>At-Risk</t>
  </si>
  <si>
    <t>SHP-1270</t>
  </si>
  <si>
    <t>SHP-1440</t>
  </si>
  <si>
    <t>SHP-1085</t>
  </si>
  <si>
    <t>SHP-1015</t>
  </si>
  <si>
    <t>SHP-1193</t>
  </si>
  <si>
    <t>SHP-1404</t>
  </si>
  <si>
    <t>SHP-1482</t>
  </si>
  <si>
    <t>SHP-1182</t>
  </si>
  <si>
    <t>SHP-1213</t>
  </si>
  <si>
    <t>SHP-1432</t>
  </si>
  <si>
    <t>SHP-1243</t>
  </si>
  <si>
    <t>SHP-1009</t>
  </si>
  <si>
    <t>SHP-1040</t>
  </si>
  <si>
    <t>SHP-1235</t>
  </si>
  <si>
    <t>SHP-1153</t>
  </si>
  <si>
    <t>SHP-1026</t>
  </si>
  <si>
    <t>SHP-1388</t>
  </si>
  <si>
    <t>SHP-1229</t>
  </si>
  <si>
    <t>SHP-1450</t>
  </si>
  <si>
    <t>SHP-1220</t>
  </si>
  <si>
    <t>SHP-1345</t>
  </si>
  <si>
    <t>SHP-1004</t>
  </si>
  <si>
    <t>SHP-1097</t>
  </si>
  <si>
    <t>SHP-1315</t>
  </si>
  <si>
    <t>SHP-1366</t>
  </si>
  <si>
    <t>SHP-1159</t>
  </si>
  <si>
    <t>SHP-1319</t>
  </si>
  <si>
    <t>SHP-1472</t>
  </si>
  <si>
    <t>SHP-1210</t>
  </si>
  <si>
    <t>SHP-1402</t>
  </si>
  <si>
    <t>SHP-1086</t>
  </si>
  <si>
    <t>SHP-1157</t>
  </si>
  <si>
    <t>SHP-1115</t>
  </si>
  <si>
    <t>SHP-1080</t>
  </si>
  <si>
    <t>SHP-1106</t>
  </si>
  <si>
    <t>SHP-1212</t>
  </si>
  <si>
    <t>SHP-1409</t>
  </si>
  <si>
    <t>SHP-1444</t>
  </si>
  <si>
    <t>SHP-1110</t>
  </si>
  <si>
    <t>SHP-1297</t>
  </si>
  <si>
    <t>SHP-1033</t>
  </si>
  <si>
    <t>SHP-1473</t>
  </si>
  <si>
    <t>SHP-1301</t>
  </si>
  <si>
    <t>SHP-1006</t>
  </si>
  <si>
    <t>SHP-1255</t>
  </si>
  <si>
    <t>SHP-1034</t>
  </si>
  <si>
    <t>SHP-1377</t>
  </si>
  <si>
    <t>SHP-1174</t>
  </si>
  <si>
    <t>SHP-1476</t>
  </si>
  <si>
    <t>SHP-1442</t>
  </si>
  <si>
    <t>SHP-1274</t>
  </si>
  <si>
    <t>SHP-1296</t>
  </si>
  <si>
    <t>SHP-1076</t>
  </si>
  <si>
    <t>SHP-1058</t>
  </si>
  <si>
    <t>SHP-1400</t>
  </si>
  <si>
    <t>SHP-1168</t>
  </si>
  <si>
    <t>SHP-1370</t>
  </si>
  <si>
    <t>SHP-1167</t>
  </si>
  <si>
    <t>SHP-1151</t>
  </si>
  <si>
    <t>SHP-1187</t>
  </si>
  <si>
    <t>SHP-1360</t>
  </si>
  <si>
    <t>SHP-1122</t>
  </si>
  <si>
    <t>SHP-1090</t>
  </si>
  <si>
    <t>SHP-1266</t>
  </si>
  <si>
    <t>SHP-1129</t>
  </si>
  <si>
    <t>SHP-1471</t>
  </si>
  <si>
    <t>SHP-1043</t>
  </si>
  <si>
    <t>SHP-1132</t>
  </si>
  <si>
    <t>SHP-1390</t>
  </si>
  <si>
    <t>SHP-1142</t>
  </si>
  <si>
    <t>SHP-1263</t>
  </si>
  <si>
    <t>SHP-1406</t>
  </si>
  <si>
    <t>SHP-1133</t>
  </si>
  <si>
    <t>SHP-1302</t>
  </si>
  <si>
    <t>SHP-1226</t>
  </si>
  <si>
    <t>SHP-1190</t>
  </si>
  <si>
    <t>SHP-1392</t>
  </si>
  <si>
    <t>SHP-1465</t>
  </si>
  <si>
    <t>SHP-1357</t>
  </si>
  <si>
    <t>SHP-1081</t>
  </si>
  <si>
    <t>SHP-1002</t>
  </si>
  <si>
    <t>SHP-1195</t>
  </si>
  <si>
    <t>SHP-1412</t>
  </si>
  <si>
    <t>SHP-1268</t>
  </si>
  <si>
    <t>SHP-1428</t>
  </si>
  <si>
    <t>SHP-1279</t>
  </si>
  <si>
    <t>SHP-1375</t>
  </si>
  <si>
    <t>SHP-1176</t>
  </si>
  <si>
    <t>SHP-1044</t>
  </si>
  <si>
    <t>SHP-1271</t>
  </si>
  <si>
    <t>SHP-1202</t>
  </si>
  <si>
    <t>SHP-1150</t>
  </si>
  <si>
    <t>SHP-1479</t>
  </si>
  <si>
    <t>SHP-1331</t>
  </si>
  <si>
    <t>SHP-1356</t>
  </si>
  <si>
    <t>SHP-1225</t>
  </si>
  <si>
    <t>SHP-1499</t>
  </si>
  <si>
    <t>SHP-1353</t>
  </si>
  <si>
    <t>SHP-1230</t>
  </si>
  <si>
    <t>SHP-1330</t>
  </si>
  <si>
    <t>SHP-1463</t>
  </si>
  <si>
    <t>SHP-1199</t>
  </si>
  <si>
    <t>SHP-1487</t>
  </si>
  <si>
    <t>SHP-1211</t>
  </si>
  <si>
    <t>SHP-1003</t>
  </si>
  <si>
    <t>SHP-1405</t>
  </si>
  <si>
    <t>SHP-1036</t>
  </si>
  <si>
    <t>SHP-1007</t>
  </si>
  <si>
    <t>SHP-1253</t>
  </si>
  <si>
    <t>SHP-1166</t>
  </si>
  <si>
    <t>SHP-1244</t>
  </si>
  <si>
    <t>SHP-1486</t>
  </si>
  <si>
    <t>SHP-1170</t>
  </si>
  <si>
    <t>SHP-1364</t>
  </si>
  <si>
    <t>SHP-1073</t>
  </si>
  <si>
    <t>SHP-1227</t>
  </si>
  <si>
    <t>SHP-1311</t>
  </si>
  <si>
    <t>SHP-1130</t>
  </si>
  <si>
    <t>SHP-1283</t>
  </si>
  <si>
    <t>SHP-1355</t>
  </si>
  <si>
    <t>SHP-1218</t>
  </si>
  <si>
    <t>SHP-1299</t>
  </si>
  <si>
    <t>SHP-1124</t>
  </si>
  <si>
    <t>SHP-1105</t>
  </si>
  <si>
    <t>SHP-1146</t>
  </si>
  <si>
    <t>SHP-1438</t>
  </si>
  <si>
    <t>SHP-1464</t>
  </si>
  <si>
    <t>SHP-1041</t>
  </si>
  <si>
    <t>SHP-1028</t>
  </si>
  <si>
    <t>SHP-1103</t>
  </si>
  <si>
    <t>SHP-1393</t>
  </si>
  <si>
    <t>SHP-1197</t>
  </si>
  <si>
    <t>SHP-1245</t>
  </si>
  <si>
    <t>SHP-1059</t>
  </si>
  <si>
    <t>SHP-1339</t>
  </si>
  <si>
    <t>SHP-1437</t>
  </si>
  <si>
    <t>SHP-1084</t>
  </si>
  <si>
    <t>SHP-1288</t>
  </si>
  <si>
    <t>SHP-1094</t>
  </si>
  <si>
    <t>SHP-1495</t>
  </si>
  <si>
    <t>SHP-1333</t>
  </si>
  <si>
    <t>SHP-1429</t>
  </si>
  <si>
    <t>SHP-1011</t>
  </si>
  <si>
    <t>SHP-1420</t>
  </si>
  <si>
    <t>SHP-1024</t>
  </si>
  <si>
    <t>SHP-1206</t>
  </si>
  <si>
    <t>SHP-1449</t>
  </si>
  <si>
    <t>SHP-1421</t>
  </si>
  <si>
    <t>SHP-1466</t>
  </si>
  <si>
    <t>SHP-1285</t>
  </si>
  <si>
    <t>SHP-1408</t>
  </si>
  <si>
    <t>SHP-1138</t>
  </si>
  <si>
    <t>SHP-1350</t>
  </si>
  <si>
    <t>SHP-1367</t>
  </si>
  <si>
    <t>SHP-1060</t>
  </si>
  <si>
    <t>SHP-1161</t>
  </si>
  <si>
    <t>SHP-1307</t>
  </si>
  <si>
    <t>SHP-1186</t>
  </si>
  <si>
    <t>SHP-1494</t>
  </si>
  <si>
    <t>SHP-1455</t>
  </si>
  <si>
    <t>SHP-1403</t>
  </si>
  <si>
    <t>SHP-1258</t>
  </si>
  <si>
    <t>SHP-1056</t>
  </si>
  <si>
    <t>SHP-1112</t>
  </si>
  <si>
    <t>SHP-1177</t>
  </si>
  <si>
    <t>SHP-1313</t>
  </si>
  <si>
    <t>SHP-1462</t>
  </si>
  <si>
    <t>SHP-1485</t>
  </si>
  <si>
    <t>SHP-1143</t>
  </si>
  <si>
    <t>SHP-1342</t>
  </si>
  <si>
    <t>SHP-1100</t>
  </si>
  <si>
    <t>SHP-1237</t>
  </si>
  <si>
    <t>SHP-1418</t>
  </si>
  <si>
    <t>SHP-1155</t>
  </si>
  <si>
    <t>SHP-1137</t>
  </si>
  <si>
    <t>SHP-1481</t>
  </si>
  <si>
    <t>SHP-1107</t>
  </si>
  <si>
    <t>SHP-1344</t>
  </si>
  <si>
    <t>SHP-1419</t>
  </si>
  <si>
    <t>SHP-1467</t>
  </si>
  <si>
    <t>SHP-1156</t>
  </si>
  <si>
    <t>SHP-1445</t>
  </si>
  <si>
    <t>SHP-1121</t>
  </si>
  <si>
    <t>SHP-1172</t>
  </si>
  <si>
    <t>SHP-1427</t>
  </si>
  <si>
    <t>SHP-1134</t>
  </si>
  <si>
    <t>SHP-1453</t>
  </si>
  <si>
    <t>SHP-1050</t>
  </si>
  <si>
    <t>SHP-1088</t>
  </si>
  <si>
    <t>SHP-1087</t>
  </si>
  <si>
    <t>SHP-1209</t>
  </si>
  <si>
    <t>SHP-1038</t>
  </si>
  <si>
    <t>SHP-1452</t>
  </si>
  <si>
    <t>SHP-1096</t>
  </si>
  <si>
    <t>SHP-1018</t>
  </si>
  <si>
    <t>SHP-1422</t>
  </si>
  <si>
    <t>SHP-1093</t>
  </si>
  <si>
    <t>SHP-1414</t>
  </si>
  <si>
    <t>SHP-1241</t>
  </si>
  <si>
    <t>SHP-1223</t>
  </si>
  <si>
    <t>SHP-1185</t>
  </si>
  <si>
    <t>SHP-1079</t>
  </si>
  <si>
    <t>SHP-1049</t>
  </si>
  <si>
    <t>SHP-1363</t>
  </si>
  <si>
    <t>SHP-1321</t>
  </si>
  <si>
    <t>SHP-1332</t>
  </si>
  <si>
    <t>SHP-1248</t>
  </si>
  <si>
    <t>SHP-1119</t>
  </si>
  <si>
    <t>SHP-1351</t>
  </si>
  <si>
    <t>SHP-1205</t>
  </si>
  <si>
    <t>SHP-1347</t>
  </si>
  <si>
    <t>SHP-1373</t>
  </si>
  <si>
    <t>SHP-1376</t>
  </si>
  <si>
    <t>SHP-1178</t>
  </si>
  <si>
    <t>SHP-1014</t>
  </si>
  <si>
    <t>SHP-1160</t>
  </si>
  <si>
    <t>SHP-1148</t>
  </si>
  <si>
    <t>SHP-1052</t>
  </si>
  <si>
    <t>SHP-1368</t>
  </si>
  <si>
    <t>SHP-1010</t>
  </si>
  <si>
    <t>SHP-1074</t>
  </si>
  <si>
    <t>SHP-1032</t>
  </si>
  <si>
    <t>SHP-1493</t>
  </si>
  <si>
    <t>SHP-1415</t>
  </si>
  <si>
    <t>SHP-1031</t>
  </si>
  <si>
    <t>SHP-1424</t>
  </si>
  <si>
    <t>SHP-1281</t>
  </si>
  <si>
    <t>SHP-1456</t>
  </si>
  <si>
    <t>SHP-1492</t>
  </si>
  <si>
    <t>SHP-1480</t>
  </si>
  <si>
    <t>SHP-1269</t>
  </si>
  <si>
    <t>SHP-1158</t>
  </si>
  <si>
    <t>SHP-1053</t>
  </si>
  <si>
    <t>SHP-1231</t>
  </si>
  <si>
    <t>SHP-1221</t>
  </si>
  <si>
    <t>SHP-1118</t>
  </si>
  <si>
    <t>SHP-1027</t>
  </si>
  <si>
    <t>SHP-1055</t>
  </si>
  <si>
    <t>SHP-1120</t>
  </si>
  <si>
    <t>SHP-1215</t>
  </si>
  <si>
    <t>SHP-1295</t>
  </si>
  <si>
    <t>SHP-1316</t>
  </si>
  <si>
    <t>SHP-1469</t>
  </si>
  <si>
    <t>SHP-1358</t>
  </si>
  <si>
    <t>SHP-1378</t>
  </si>
  <si>
    <t>SHP-1318</t>
  </si>
  <si>
    <t>SHP-1144</t>
  </si>
  <si>
    <t>SHP-1497</t>
  </si>
  <si>
    <t>SHP-1066</t>
  </si>
  <si>
    <t>SHP-1016</t>
  </si>
  <si>
    <t>SHP-1123</t>
  </si>
  <si>
    <t>SHP-1083</t>
  </si>
  <si>
    <t>SHP-1061</t>
  </si>
  <si>
    <t>SHP-1045</t>
  </si>
  <si>
    <t>SHP-1490</t>
  </si>
  <si>
    <t>SHP-1439</t>
  </si>
  <si>
    <t>SHP-1335</t>
  </si>
  <si>
    <t>SHP-1259</t>
  </si>
  <si>
    <t>SHP-1072</t>
  </si>
  <si>
    <t>SHP-1411</t>
  </si>
  <si>
    <t>SHP-1470</t>
  </si>
  <si>
    <t>SHP-1265</t>
  </si>
  <si>
    <t>SHP-1023</t>
  </si>
  <si>
    <t>SHP-1461</t>
  </si>
  <si>
    <t>SHP-1191</t>
  </si>
  <si>
    <t>SHP-1362</t>
  </si>
  <si>
    <t>SHP-1477</t>
  </si>
  <si>
    <t>SHP-1448</t>
  </si>
  <si>
    <t>SHP-1257</t>
  </si>
  <si>
    <t>SHP-1127</t>
  </si>
  <si>
    <t>SHP-1298</t>
  </si>
  <si>
    <t>SHP-1128</t>
  </si>
  <si>
    <t>SHP-1188</t>
  </si>
  <si>
    <t>SHP-1136</t>
  </si>
  <si>
    <t>SHP-1232</t>
  </si>
  <si>
    <t>SHP-1141</t>
  </si>
  <si>
    <t>SHP-1454</t>
  </si>
  <si>
    <t>SHP-1001</t>
  </si>
  <si>
    <t>SHP-1037</t>
  </si>
  <si>
    <t>SHP-1025</t>
  </si>
  <si>
    <t>SHP-1292</t>
  </si>
  <si>
    <t>SHP-1065</t>
  </si>
  <si>
    <t>SHP-1067</t>
  </si>
  <si>
    <t>SHP-1135</t>
  </si>
  <si>
    <t>SHP-1030</t>
  </si>
  <si>
    <t>SHP-1327</t>
  </si>
  <si>
    <t>SHP-1113</t>
  </si>
  <si>
    <t>SHP-1282</t>
  </si>
  <si>
    <t>SHP-1264</t>
  </si>
  <si>
    <t>SHP-1019</t>
  </si>
  <si>
    <t>SHP-1303</t>
  </si>
  <si>
    <t>SHP-1222</t>
  </si>
  <si>
    <t>SHP-1057</t>
  </si>
  <si>
    <t>SHP-1286</t>
  </si>
  <si>
    <t>SHP-1035</t>
  </si>
  <si>
    <t>SHP-1458</t>
  </si>
  <si>
    <t>SHP-1169</t>
  </si>
  <si>
    <t>SHP-1194</t>
  </si>
  <si>
    <t>SHP-1204</t>
  </si>
  <si>
    <t>SHP-1277</t>
  </si>
  <si>
    <t>SHP-1320</t>
  </si>
  <si>
    <t>SHP-1054</t>
  </si>
  <si>
    <t>SHP-1380</t>
  </si>
  <si>
    <t>SHP-1171</t>
  </si>
  <si>
    <t>SHP-1460</t>
  </si>
  <si>
    <t>SHP-1349</t>
  </si>
  <si>
    <t>SHP-1022</t>
  </si>
  <si>
    <t>SHP-1114</t>
  </si>
  <si>
    <t>SHP-1208</t>
  </si>
  <si>
    <t>SHP-1287</t>
  </si>
  <si>
    <t>SHP-1189</t>
  </si>
  <si>
    <t>SHP-1013</t>
  </si>
  <si>
    <t>SHP-1325</t>
  </si>
  <si>
    <t>SHP-1323</t>
  </si>
  <si>
    <t>SHP-1294</t>
  </si>
  <si>
    <t>SHP-1063</t>
  </si>
  <si>
    <t>SHP-1423</t>
  </si>
  <si>
    <t>SHP-1396</t>
  </si>
  <si>
    <t>SHP-1417</t>
  </si>
  <si>
    <t>SHP-1389</t>
  </si>
  <si>
    <t>SHP-1337</t>
  </si>
  <si>
    <t>SHP-1116</t>
  </si>
  <si>
    <t>SHP-1328</t>
  </si>
  <si>
    <t>SHP-1329</t>
  </si>
  <si>
    <t>SHP-1048</t>
  </si>
  <si>
    <t>SHP-1163</t>
  </si>
  <si>
    <t>SHP-1391</t>
  </si>
  <si>
    <t>SHP-1260</t>
  </si>
  <si>
    <t>SHP-1239</t>
  </si>
  <si>
    <t>SHP-1175</t>
  </si>
  <si>
    <t>SHP-1474</t>
  </si>
  <si>
    <t>SHP-1082</t>
  </si>
  <si>
    <t>SHP-1219</t>
  </si>
  <si>
    <t>SHP-1179</t>
  </si>
  <si>
    <t>SHP-1242</t>
  </si>
  <si>
    <t>SHP-1459</t>
  </si>
  <si>
    <t>SHP-1192</t>
  </si>
  <si>
    <t>SHP-1203</t>
  </si>
  <si>
    <t>SHP-1399</t>
  </si>
  <si>
    <t>SHP-1407</t>
  </si>
  <si>
    <t>SHP-1216</t>
  </si>
  <si>
    <t>SHP-1075</t>
  </si>
  <si>
    <t>SHP-1102</t>
  </si>
  <si>
    <t>SHP-1228</t>
  </si>
  <si>
    <t>SHP-1457</t>
  </si>
  <si>
    <t>SHP-1183</t>
  </si>
  <si>
    <t>SHP-1426</t>
  </si>
  <si>
    <t>SHP-1352</t>
  </si>
  <si>
    <t>SHP-1308</t>
  </si>
  <si>
    <t>SHP-1236</t>
  </si>
  <si>
    <t>SHP-1108</t>
  </si>
  <si>
    <t>SHP-1304</t>
  </si>
  <si>
    <t>SHP-1154</t>
  </si>
  <si>
    <t>SHP-1446</t>
  </si>
  <si>
    <t>SHP-1371</t>
  </si>
  <si>
    <t>SHP-1017</t>
  </si>
  <si>
    <t>SHP-1070</t>
  </si>
  <si>
    <t>SHP-1012</t>
  </si>
  <si>
    <t>SHP-1046</t>
  </si>
  <si>
    <t>SHP-1425</t>
  </si>
  <si>
    <t>SHP-1020</t>
  </si>
  <si>
    <t>SHP-1184</t>
  </si>
  <si>
    <t>SHP-1451</t>
  </si>
  <si>
    <t>SHP-1395</t>
  </si>
  <si>
    <t>SHP-1436</t>
  </si>
  <si>
    <t>SHP-1149</t>
  </si>
  <si>
    <t>SHP-1246</t>
  </si>
  <si>
    <t>SHP-1140</t>
  </si>
  <si>
    <t>SHP-1047</t>
  </si>
  <si>
    <t>SHP-1173</t>
  </si>
  <si>
    <t>SHP-1310</t>
  </si>
  <si>
    <t>SHP-1267</t>
  </si>
  <si>
    <t>SHP-1468</t>
  </si>
  <si>
    <t>SHP-1117</t>
  </si>
  <si>
    <t>SHP-1091</t>
  </si>
  <si>
    <t>SHP-1064</t>
  </si>
  <si>
    <t>SHP-1147</t>
  </si>
  <si>
    <t>SHP-1374</t>
  </si>
  <si>
    <t>SHP-1164</t>
  </si>
  <si>
    <t>SHP-1101</t>
  </si>
  <si>
    <t>SHP-1145</t>
  </si>
  <si>
    <t>SHP-1005</t>
  </si>
  <si>
    <t>SHP-1284</t>
  </si>
  <si>
    <t>SHP-1008</t>
  </si>
  <si>
    <t>SHP-1483</t>
  </si>
  <si>
    <t>SHP-1275</t>
  </si>
  <si>
    <t>SHP-1484</t>
  </si>
  <si>
    <t>SHP-1249</t>
  </si>
  <si>
    <t>SHP-1214</t>
  </si>
  <si>
    <t>SHP-1104</t>
  </si>
  <si>
    <t>SHP-1338</t>
  </si>
  <si>
    <t>SHP-1252</t>
  </si>
  <si>
    <t>SHP-1099</t>
  </si>
  <si>
    <t>SHP-1273</t>
  </si>
  <si>
    <t>SHP-1491</t>
  </si>
  <si>
    <t>SHP-1478</t>
  </si>
  <si>
    <t>SHP-1488</t>
  </si>
  <si>
    <t>SHP-1111</t>
  </si>
  <si>
    <t>SHP-1498</t>
  </si>
  <si>
    <t>SHP-1125</t>
  </si>
  <si>
    <t>SHP-1280</t>
  </si>
  <si>
    <t>SHP-1447</t>
  </si>
  <si>
    <t>SHP-1092</t>
  </si>
  <si>
    <t>SHP-1385</t>
  </si>
  <si>
    <t>SHP-1324</t>
  </si>
  <si>
    <t>SHP-1359</t>
  </si>
  <si>
    <t>SHP-1139</t>
  </si>
  <si>
    <t>SHP-1300</t>
  </si>
  <si>
    <t>SHP-1021</t>
  </si>
  <si>
    <t>SHP-1383</t>
  </si>
  <si>
    <t>SHP-1430</t>
  </si>
  <si>
    <t>SHP-1341</t>
  </si>
  <si>
    <t>SHP-1250</t>
  </si>
  <si>
    <t>SHP-1051</t>
  </si>
  <si>
    <t>SHP-1416</t>
  </si>
  <si>
    <t>SHP-1354</t>
  </si>
  <si>
    <t>SHP-1042</t>
  </si>
  <si>
    <t>SHP-1387</t>
  </si>
  <si>
    <t>SHP-1435</t>
  </si>
  <si>
    <t>SHP-1379</t>
  </si>
  <si>
    <t>SHP-1309</t>
  </si>
  <si>
    <t>SHP-1365</t>
  </si>
  <si>
    <t>SHP-1162</t>
  </si>
  <si>
    <t>SHP-1397</t>
  </si>
  <si>
    <t>SHP-1305</t>
  </si>
  <si>
    <t>SHP-1489</t>
  </si>
  <si>
    <t>SHP-1069</t>
  </si>
  <si>
    <t>SHP-1068</t>
  </si>
  <si>
    <t>SHP-1278</t>
  </si>
  <si>
    <t>SHP-1496</t>
  </si>
  <si>
    <t>SHP-1224</t>
  </si>
  <si>
    <t>SHP-1109</t>
  </si>
  <si>
    <t>SHP-1401</t>
  </si>
  <si>
    <t>SHP-1500</t>
  </si>
  <si>
    <t>SHP-1126</t>
  </si>
  <si>
    <t>SHP-1431</t>
  </si>
  <si>
    <t>SHP-1077</t>
  </si>
  <si>
    <t>SHP-1369</t>
  </si>
  <si>
    <t>SHP-1201</t>
  </si>
  <si>
    <t>Vendors</t>
  </si>
  <si>
    <t>Total_shipments</t>
  </si>
  <si>
    <t>Total_Failures</t>
  </si>
  <si>
    <t>Failure_Rate</t>
  </si>
  <si>
    <t>Avg_Batch_Value</t>
  </si>
  <si>
    <t>Total_Value_at_Risk</t>
  </si>
  <si>
    <t>Total_Shipments</t>
  </si>
  <si>
    <t>Failure_Rate_%</t>
  </si>
  <si>
    <t>Total_Value_At_Risk</t>
  </si>
  <si>
    <t xml:space="preserve"> INPUTS</t>
  </si>
  <si>
    <t>Route Weight</t>
  </si>
  <si>
    <t>Season Weight</t>
  </si>
  <si>
    <t>Product Weight</t>
  </si>
  <si>
    <t>Vendor Weight</t>
  </si>
  <si>
    <t>Blended_Failure_Rate</t>
  </si>
  <si>
    <t>Expected_Loss_Lakhs</t>
  </si>
  <si>
    <t>Rank</t>
  </si>
  <si>
    <t>RECOMMENDATION:</t>
  </si>
  <si>
    <t>Avg_Transit_Hours</t>
  </si>
  <si>
    <t xml:space="preserve"> SAVINGS CALCULATOR</t>
  </si>
  <si>
    <t>Selected Scenario</t>
  </si>
  <si>
    <t xml:space="preserve"> Product</t>
  </si>
  <si>
    <t>Actual Vendor (most used)</t>
  </si>
  <si>
    <t>Recommended Vendor</t>
  </si>
  <si>
    <t>Actual Failure Rate</t>
  </si>
  <si>
    <t>Recommended Failure Rate</t>
  </si>
  <si>
    <t>Failure Rate Improvement</t>
  </si>
  <si>
    <t>Savings per Shipment (₹ Lakhs)</t>
  </si>
  <si>
    <t>Total Optimized Value at Risk</t>
  </si>
  <si>
    <t xml:space="preserve"> Total Actual Value at Risk</t>
  </si>
  <si>
    <t>PORTFOLIO-WIDE SAVINGS</t>
  </si>
  <si>
    <t xml:space="preserve"> Actual Expected Loss (₹ Lakhs)</t>
  </si>
  <si>
    <t>Recommended Expected Loss (₹ Lakhs)</t>
  </si>
  <si>
    <t>Total Avoidable Loss</t>
  </si>
  <si>
    <t>Savings %</t>
  </si>
  <si>
    <t>1. PROBLEM STATEMENT</t>
  </si>
  <si>
    <t>2. DATA SOURCE</t>
  </si>
  <si>
    <t>3. WEIGHT JUSTIFICATION</t>
  </si>
  <si>
    <t>4. WHY NOT ML</t>
  </si>
  <si>
    <t>5. KEY FINDINGS</t>
  </si>
  <si>
    <t>6. LIMITATIONS</t>
  </si>
  <si>
    <r>
      <t xml:space="preserve">                          </t>
    </r>
    <r>
      <rPr>
        <b/>
        <sz val="26"/>
        <color theme="1"/>
        <rFont val="Calibri"/>
        <family val="2"/>
        <scheme val="minor"/>
      </rPr>
      <t xml:space="preserve"> METHODOLOGY &amp; MODEL DOCUMENTATION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</si>
</sst>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22" fontId="0" fillId="0" borderId="0" xfId="0" applyNumberFormat="1"/>
    <xf numFmtId="0" fontId="2" fillId="0" borderId="0" xfId="0" applyFont="1"/>
    <xf numFmtId="9" fontId="2" fillId="0" borderId="0" xfId="1" applyFont="1"/>
    <xf numFmtId="9" fontId="0" fillId="0" borderId="0" xfId="1" applyFont="1"/>
    <xf numFmtId="0" fontId="2" fillId="0" borderId="0" xfId="0" applyFont="1" applyAlignment="1">
      <alignment vertical="center" wrapText="1"/>
    </xf>
    <xf numFmtId="9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14288</xdr:colOff>
      <xdr:row>3</xdr:row>
      <xdr:rowOff>0</xdr:rowOff>
    </xdr:from>
    <xdr:to>
      <xdr:col>0</xdr:col>
      <xdr:colOff>3910013</xdr:colOff>
      <xdr:row>8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45EA3BE-F589-6B3D-6FAC-1E244812F58F}"/>
            </a:ext>
          </a:extLst>
        </xdr:cNvPr>
        <xdr:cNvSpPr txBox="1"/>
      </xdr:nvSpPr>
      <xdr:spPr>
        <a:xfrm>
          <a:off x="14288" y="647700"/>
          <a:ext cx="3895725" cy="981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A global pharmaceutical manufacturer identified that 12% of sensitive biological shipments were degrading during transit, causing ₹2,566 Lakhs in annual inventory losses. This model identifies root causes and recommends optimal vendor selection to minimize temperature breach risk.</a:t>
          </a:r>
        </a:p>
      </xdr:txBody>
    </xdr:sp>
    <xdr:clientData/>
  </xdr:twoCellAnchor>
  <xdr:twoCellAnchor>
    <xdr:from>
      <xdr:col>0</xdr:col>
      <xdr:colOff>4763</xdr:colOff>
      <xdr:row>9</xdr:row>
      <xdr:rowOff>195263</xdr:rowOff>
    </xdr:from>
    <xdr:to>
      <xdr:col>1</xdr:col>
      <xdr:colOff>0</xdr:colOff>
      <xdr:row>15</xdr:row>
      <xdr:rowOff>52387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3617499-FC17-1D60-A9D9-21AE405C2741}"/>
            </a:ext>
          </a:extLst>
        </xdr:cNvPr>
        <xdr:cNvSpPr txBox="1"/>
      </xdr:nvSpPr>
      <xdr:spPr>
        <a:xfrm>
          <a:off x="4763" y="2152651"/>
          <a:ext cx="3895725" cy="981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Dataset: 500 pharmaceutical shipment records modeled on WHO GDP cold chain guidelines (2°C–8°C storage range for biologics). Data cleaned in Python — removed duplicates, standardized vendor names, resolved mixed timestamp formats, handled missing sensor readings.</a:t>
          </a: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1</xdr:col>
      <xdr:colOff>9525</xdr:colOff>
      <xdr:row>25</xdr:row>
      <xdr:rowOff>47625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C948A58-0C5E-CD7A-06CA-6E3E0A0515D4}"/>
            </a:ext>
          </a:extLst>
        </xdr:cNvPr>
        <xdr:cNvSpPr txBox="1"/>
      </xdr:nvSpPr>
      <xdr:spPr>
        <a:xfrm>
          <a:off x="0" y="3462338"/>
          <a:ext cx="3910013" cy="1495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Weights are derived empirically from the failure rate spread each factor creates across the dataset:</a:t>
          </a:r>
        </a:p>
        <a:p>
          <a:r>
            <a:rPr lang="en-IN" sz="1100"/>
            <a:t>- Vendor (35%): 19 percentage point spread — strongest driver</a:t>
          </a:r>
        </a:p>
        <a:p>
          <a:r>
            <a:rPr lang="en-IN" sz="1100"/>
            <a:t>- Route (30%): 10 percentage point spread</a:t>
          </a:r>
        </a:p>
        <a:p>
          <a:r>
            <a:rPr lang="en-IN" sz="1100"/>
            <a:t>- Season (25%): 11 percentage point spread  </a:t>
          </a:r>
        </a:p>
        <a:p>
          <a:r>
            <a:rPr lang="en-IN" sz="1100"/>
            <a:t>- Product (10%): 5 percentage point spread — weakest driver</a:t>
          </a:r>
        </a:p>
        <a:p>
          <a:r>
            <a:rPr lang="en-IN" sz="1100"/>
            <a:t>Weights are adjustable inputs (blue cells) and can be overridden based on client domain knowledge.</a:t>
          </a:r>
        </a:p>
      </xdr:txBody>
    </xdr:sp>
    <xdr:clientData/>
  </xdr:twoCellAnchor>
  <xdr:twoCellAnchor>
    <xdr:from>
      <xdr:col>2</xdr:col>
      <xdr:colOff>0</xdr:colOff>
      <xdr:row>3</xdr:row>
      <xdr:rowOff>0</xdr:rowOff>
    </xdr:from>
    <xdr:to>
      <xdr:col>3</xdr:col>
      <xdr:colOff>14288</xdr:colOff>
      <xdr:row>9</xdr:row>
      <xdr:rowOff>4763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3909407-7C1B-6DBC-B472-FC18BF8AFE0F}"/>
            </a:ext>
          </a:extLst>
        </xdr:cNvPr>
        <xdr:cNvSpPr txBox="1"/>
      </xdr:nvSpPr>
      <xdr:spPr>
        <a:xfrm>
          <a:off x="4562475" y="647700"/>
          <a:ext cx="3690938" cy="11572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With 485 shipments across 800 possible combinations (5 vendors × 8 routes × 4 seasons × 5 products), most cells are too sparse for a statistically defensible predictive model. A transparent weighted scoring engine is more appropriate — every output is fully explainable to a client stakeholder, unlike a black-box ML model.</a:t>
          </a:r>
        </a:p>
      </xdr:txBody>
    </xdr:sp>
    <xdr:clientData/>
  </xdr:twoCellAnchor>
  <xdr:twoCellAnchor>
    <xdr:from>
      <xdr:col>1</xdr:col>
      <xdr:colOff>642937</xdr:colOff>
      <xdr:row>11</xdr:row>
      <xdr:rowOff>0</xdr:rowOff>
    </xdr:from>
    <xdr:to>
      <xdr:col>3</xdr:col>
      <xdr:colOff>14287</xdr:colOff>
      <xdr:row>24</xdr:row>
      <xdr:rowOff>176213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2E49E14-00DA-CDF3-BBE3-B442D0A6A0CF}"/>
            </a:ext>
          </a:extLst>
        </xdr:cNvPr>
        <xdr:cNvSpPr txBox="1"/>
      </xdr:nvSpPr>
      <xdr:spPr>
        <a:xfrm>
          <a:off x="4543425" y="2200275"/>
          <a:ext cx="3695700" cy="25479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1. ColdEx Logistics (24% failure) and MediCargo Express (14% failure) drive the majority of losses</a:t>
          </a:r>
        </a:p>
        <a:p>
          <a:r>
            <a:rPr lang="en-IN" sz="1100"/>
            <a:t>2. Mumbai-Delhi and Delhi-Jaipur account for 42% of total value at risk on 25% of volume</a:t>
          </a:r>
        </a:p>
        <a:p>
          <a:r>
            <a:rPr lang="en-IN" sz="1100"/>
            <a:t>3. Winter is the riskiest season (18%) — counterintuitive vs standard heat-stress assumption</a:t>
          </a:r>
        </a:p>
        <a:p>
          <a:r>
            <a:rPr lang="en-IN" sz="1100"/>
            <a:t>4. Trastuzumab + ColdEx + Winter = 40% failure rate — 3x the dataset average</a:t>
          </a:r>
        </a:p>
        <a:p>
          <a:r>
            <a:rPr lang="en-IN" sz="1100"/>
            <a:t>5. Product type is the weakest risk driver (only 5 point spread vs 19 for vendor)</a:t>
          </a:r>
        </a:p>
        <a:p>
          <a:r>
            <a:rPr lang="en-IN" sz="1100"/>
            <a:t>6. PharmaFreight Inc and ChillChain Pvt Ltd show consistently 0% failure on most routes</a:t>
          </a:r>
        </a:p>
        <a:p>
          <a:r>
            <a:rPr lang="en-IN" sz="1100"/>
            <a:t>7. Switching to model-recommended vendors projects ₹2,442 Lakhs in avoidable losses (95% reduction)</a:t>
          </a:r>
        </a:p>
      </xdr:txBody>
    </xdr:sp>
    <xdr:clientData/>
  </xdr:twoCellAnchor>
  <xdr:twoCellAnchor>
    <xdr:from>
      <xdr:col>3</xdr:col>
      <xdr:colOff>638175</xdr:colOff>
      <xdr:row>2</xdr:row>
      <xdr:rowOff>195262</xdr:rowOff>
    </xdr:from>
    <xdr:to>
      <xdr:col>4</xdr:col>
      <xdr:colOff>3000375</xdr:colOff>
      <xdr:row>11</xdr:row>
      <xdr:rowOff>9525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5079B4C-8F98-8CC9-3F32-3B90941A3B09}"/>
            </a:ext>
          </a:extLst>
        </xdr:cNvPr>
        <xdr:cNvSpPr txBox="1"/>
      </xdr:nvSpPr>
      <xdr:spPr>
        <a:xfrm>
          <a:off x="8863013" y="800100"/>
          <a:ext cx="3009900" cy="15668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- Vendor cost per shipment not included (would require procurement contract data)</a:t>
          </a:r>
        </a:p>
        <a:p>
          <a:r>
            <a:rPr lang="en-IN" sz="1100"/>
            <a:t>- Route and Destination fields are inconsistent in raw data — Route treated as authoritative</a:t>
          </a:r>
        </a:p>
        <a:p>
          <a:r>
            <a:rPr lang="en-IN" sz="1100"/>
            <a:t>- Unknown vendor category (~23 shipments) excluded from vendor-level conclusions</a:t>
          </a:r>
        </a:p>
        <a:p>
          <a:r>
            <a:rPr lang="en-IN" sz="1100"/>
            <a:t>- Synthetic dataset — real engagement would use client's proprietary IoT logs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D8167-5252-4081-9A23-6E13E0D3035A}">
  <dimension ref="A1:S486"/>
  <sheetViews>
    <sheetView topLeftCell="G1" workbookViewId="0">
      <pane ySplit="1" topLeftCell="A461" activePane="bottomLeft" state="frozen"/>
      <selection activeCell="G1" sqref="G1"/>
      <selection pane="bottomLeft" activeCell="B1" sqref="B1"/>
    </sheetView>
  </sheetViews>
  <sheetFormatPr defaultRowHeight="14.25" x14ac:dyDescent="0.45"/>
  <cols>
    <col min="1" max="1" width="11.3984375" customWidth="1"/>
    <col min="2" max="2" width="16" bestFit="1" customWidth="1"/>
    <col min="3" max="3" width="16.53125" bestFit="1" customWidth="1"/>
    <col min="4" max="4" width="15.73046875" bestFit="1" customWidth="1"/>
    <col min="5" max="5" width="17.86328125" bestFit="1" customWidth="1"/>
    <col min="6" max="6" width="17.53125" bestFit="1" customWidth="1"/>
    <col min="7" max="7" width="12" bestFit="1" customWidth="1"/>
    <col min="8" max="8" width="17.3984375" bestFit="1" customWidth="1"/>
    <col min="9" max="9" width="17.6640625" customWidth="1"/>
    <col min="10" max="10" width="17.06640625" customWidth="1"/>
    <col min="11" max="11" width="11.46484375" customWidth="1"/>
    <col min="12" max="12" width="15.9296875" customWidth="1"/>
    <col min="13" max="13" width="10.06640625" customWidth="1"/>
    <col min="14" max="14" width="16.19921875" customWidth="1"/>
    <col min="15" max="15" width="17.796875" customWidth="1"/>
    <col min="17" max="17" width="11.59765625" customWidth="1"/>
    <col min="18" max="18" width="12.1328125" bestFit="1" customWidth="1"/>
    <col min="19" max="19" width="12.06640625" customWidth="1"/>
  </cols>
  <sheetData>
    <row r="1" spans="1:19" s="2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45">
      <c r="A2" t="s">
        <v>19</v>
      </c>
      <c r="B2" t="s">
        <v>20</v>
      </c>
      <c r="C2" t="s">
        <v>21</v>
      </c>
      <c r="D2" t="s">
        <v>22</v>
      </c>
      <c r="E2" s="1">
        <v>45307</v>
      </c>
      <c r="F2" s="1">
        <v>45309</v>
      </c>
      <c r="G2">
        <v>51</v>
      </c>
      <c r="H2">
        <v>5.07</v>
      </c>
      <c r="I2">
        <v>7.44</v>
      </c>
      <c r="J2">
        <v>2.6</v>
      </c>
      <c r="K2">
        <v>0</v>
      </c>
      <c r="L2">
        <v>75.63</v>
      </c>
      <c r="M2" t="s">
        <v>23</v>
      </c>
      <c r="N2" t="s">
        <v>24</v>
      </c>
      <c r="O2">
        <v>51</v>
      </c>
      <c r="P2">
        <v>1</v>
      </c>
      <c r="Q2" t="s">
        <v>25</v>
      </c>
      <c r="R2" t="s">
        <v>26</v>
      </c>
      <c r="S2">
        <v>0</v>
      </c>
    </row>
    <row r="3" spans="1:19" x14ac:dyDescent="0.45">
      <c r="A3" t="s">
        <v>27</v>
      </c>
      <c r="B3" t="s">
        <v>28</v>
      </c>
      <c r="C3" t="s">
        <v>21</v>
      </c>
      <c r="D3" t="s">
        <v>29</v>
      </c>
      <c r="E3" s="1">
        <v>45503</v>
      </c>
      <c r="F3" s="1">
        <v>45506</v>
      </c>
      <c r="G3">
        <v>70</v>
      </c>
      <c r="H3">
        <v>5.21</v>
      </c>
      <c r="I3">
        <v>7.72</v>
      </c>
      <c r="J3">
        <v>2.66</v>
      </c>
      <c r="K3">
        <v>0</v>
      </c>
      <c r="L3">
        <v>63.73</v>
      </c>
      <c r="M3" t="s">
        <v>30</v>
      </c>
      <c r="N3" t="s">
        <v>24</v>
      </c>
      <c r="O3">
        <v>70</v>
      </c>
      <c r="P3">
        <v>7</v>
      </c>
      <c r="Q3" t="s">
        <v>31</v>
      </c>
      <c r="R3" t="s">
        <v>32</v>
      </c>
      <c r="S3">
        <v>0</v>
      </c>
    </row>
    <row r="4" spans="1:19" x14ac:dyDescent="0.45">
      <c r="A4" t="s">
        <v>33</v>
      </c>
      <c r="B4" t="s">
        <v>20</v>
      </c>
      <c r="C4" t="s">
        <v>34</v>
      </c>
      <c r="D4" t="s">
        <v>22</v>
      </c>
      <c r="E4" s="1">
        <v>45504.791666666664</v>
      </c>
      <c r="F4" s="1">
        <v>45508.333333333336</v>
      </c>
      <c r="G4">
        <v>85</v>
      </c>
      <c r="H4">
        <v>5.0999999999999996</v>
      </c>
      <c r="I4">
        <v>7.73</v>
      </c>
      <c r="J4">
        <v>2.5099999999999998</v>
      </c>
      <c r="K4">
        <v>0</v>
      </c>
      <c r="L4">
        <v>59.68</v>
      </c>
      <c r="M4" t="s">
        <v>35</v>
      </c>
      <c r="N4" t="s">
        <v>24</v>
      </c>
      <c r="O4">
        <v>85</v>
      </c>
      <c r="P4">
        <v>7</v>
      </c>
      <c r="Q4" t="s">
        <v>31</v>
      </c>
      <c r="R4" t="s">
        <v>32</v>
      </c>
      <c r="S4">
        <v>0</v>
      </c>
    </row>
    <row r="5" spans="1:19" x14ac:dyDescent="0.45">
      <c r="A5" t="s">
        <v>36</v>
      </c>
      <c r="B5" t="s">
        <v>37</v>
      </c>
      <c r="C5" t="s">
        <v>38</v>
      </c>
      <c r="D5" t="s">
        <v>29</v>
      </c>
      <c r="E5" s="1">
        <v>45453</v>
      </c>
      <c r="F5" s="1">
        <v>45457</v>
      </c>
      <c r="G5">
        <v>74</v>
      </c>
      <c r="H5">
        <v>6.25</v>
      </c>
      <c r="I5">
        <v>11.59</v>
      </c>
      <c r="J5">
        <v>2.5299999999999998</v>
      </c>
      <c r="K5">
        <v>15</v>
      </c>
      <c r="L5">
        <v>62.28</v>
      </c>
      <c r="M5" t="s">
        <v>30</v>
      </c>
      <c r="N5" t="s">
        <v>39</v>
      </c>
      <c r="O5">
        <v>74</v>
      </c>
      <c r="P5">
        <v>6</v>
      </c>
      <c r="Q5" t="s">
        <v>40</v>
      </c>
      <c r="R5" t="s">
        <v>32</v>
      </c>
      <c r="S5">
        <v>62.28</v>
      </c>
    </row>
    <row r="6" spans="1:19" x14ac:dyDescent="0.45">
      <c r="A6" t="s">
        <v>41</v>
      </c>
      <c r="B6" t="s">
        <v>37</v>
      </c>
      <c r="C6" t="s">
        <v>42</v>
      </c>
      <c r="D6" t="s">
        <v>43</v>
      </c>
      <c r="E6" s="1">
        <v>45373.333333333336</v>
      </c>
      <c r="F6" s="1">
        <v>45376.25</v>
      </c>
      <c r="G6">
        <v>70</v>
      </c>
      <c r="H6">
        <v>5.47</v>
      </c>
      <c r="I6">
        <v>7.65</v>
      </c>
      <c r="J6">
        <v>2.73</v>
      </c>
      <c r="K6">
        <v>0</v>
      </c>
      <c r="L6">
        <v>10.57</v>
      </c>
      <c r="M6" t="s">
        <v>44</v>
      </c>
      <c r="N6" t="s">
        <v>24</v>
      </c>
      <c r="O6">
        <v>70</v>
      </c>
      <c r="P6">
        <v>3</v>
      </c>
      <c r="Q6" t="s">
        <v>45</v>
      </c>
      <c r="R6" t="s">
        <v>46</v>
      </c>
      <c r="S6">
        <v>0</v>
      </c>
    </row>
    <row r="7" spans="1:19" x14ac:dyDescent="0.45">
      <c r="A7" t="s">
        <v>47</v>
      </c>
      <c r="B7" t="s">
        <v>48</v>
      </c>
      <c r="C7" t="s">
        <v>42</v>
      </c>
      <c r="D7" t="s">
        <v>22</v>
      </c>
      <c r="E7" s="1">
        <v>45382.291666666664</v>
      </c>
      <c r="F7" s="1">
        <v>45385.666666666664</v>
      </c>
      <c r="G7">
        <v>81</v>
      </c>
      <c r="H7">
        <v>5.17</v>
      </c>
      <c r="I7">
        <v>7.79</v>
      </c>
      <c r="J7">
        <v>2.62</v>
      </c>
      <c r="K7">
        <v>0</v>
      </c>
      <c r="L7">
        <v>27.05</v>
      </c>
      <c r="M7" t="s">
        <v>35</v>
      </c>
      <c r="N7" t="s">
        <v>24</v>
      </c>
      <c r="O7">
        <v>81</v>
      </c>
      <c r="P7">
        <v>3</v>
      </c>
      <c r="Q7" t="s">
        <v>45</v>
      </c>
      <c r="R7" t="s">
        <v>46</v>
      </c>
      <c r="S7">
        <v>0</v>
      </c>
    </row>
    <row r="8" spans="1:19" x14ac:dyDescent="0.45">
      <c r="A8" t="s">
        <v>49</v>
      </c>
      <c r="B8" t="s">
        <v>37</v>
      </c>
      <c r="C8" t="s">
        <v>42</v>
      </c>
      <c r="D8" t="s">
        <v>50</v>
      </c>
      <c r="E8" s="1">
        <v>45309.75</v>
      </c>
      <c r="F8" s="1">
        <v>45313.541666666664</v>
      </c>
      <c r="G8">
        <v>91</v>
      </c>
      <c r="H8">
        <v>5.17</v>
      </c>
      <c r="I8">
        <v>7.66</v>
      </c>
      <c r="J8">
        <v>2.5299999999999998</v>
      </c>
      <c r="K8">
        <v>0</v>
      </c>
      <c r="L8">
        <v>71.66</v>
      </c>
      <c r="M8" t="s">
        <v>30</v>
      </c>
      <c r="N8" t="s">
        <v>24</v>
      </c>
      <c r="O8">
        <v>91</v>
      </c>
      <c r="P8">
        <v>1</v>
      </c>
      <c r="Q8" t="s">
        <v>25</v>
      </c>
      <c r="R8" t="s">
        <v>26</v>
      </c>
      <c r="S8">
        <v>0</v>
      </c>
    </row>
    <row r="9" spans="1:19" x14ac:dyDescent="0.45">
      <c r="A9" t="s">
        <v>51</v>
      </c>
      <c r="B9" t="s">
        <v>52</v>
      </c>
      <c r="C9" t="s">
        <v>53</v>
      </c>
      <c r="D9" t="s">
        <v>50</v>
      </c>
      <c r="E9" s="1">
        <v>45630.541666666664</v>
      </c>
      <c r="F9" s="1">
        <v>45634.25</v>
      </c>
      <c r="G9">
        <v>89</v>
      </c>
      <c r="H9">
        <v>5.01</v>
      </c>
      <c r="I9">
        <v>7.8</v>
      </c>
      <c r="J9">
        <v>2.58</v>
      </c>
      <c r="K9">
        <v>0</v>
      </c>
      <c r="L9">
        <v>66.02</v>
      </c>
      <c r="M9" t="s">
        <v>30</v>
      </c>
      <c r="N9" t="s">
        <v>24</v>
      </c>
      <c r="O9">
        <v>89</v>
      </c>
      <c r="P9">
        <v>12</v>
      </c>
      <c r="Q9" t="s">
        <v>54</v>
      </c>
      <c r="R9" t="s">
        <v>26</v>
      </c>
      <c r="S9">
        <v>0</v>
      </c>
    </row>
    <row r="10" spans="1:19" x14ac:dyDescent="0.45">
      <c r="A10" t="s">
        <v>55</v>
      </c>
      <c r="B10" t="s">
        <v>48</v>
      </c>
      <c r="C10" t="s">
        <v>38</v>
      </c>
      <c r="D10" t="s">
        <v>56</v>
      </c>
      <c r="E10" s="1">
        <v>45531</v>
      </c>
      <c r="F10" s="1">
        <v>45533</v>
      </c>
      <c r="G10">
        <v>50</v>
      </c>
      <c r="H10">
        <v>5.36</v>
      </c>
      <c r="I10">
        <v>7.74</v>
      </c>
      <c r="J10">
        <v>2.58</v>
      </c>
      <c r="K10">
        <v>0</v>
      </c>
      <c r="L10">
        <v>65.62</v>
      </c>
      <c r="M10" t="s">
        <v>57</v>
      </c>
      <c r="N10" t="s">
        <v>24</v>
      </c>
      <c r="O10">
        <v>50</v>
      </c>
      <c r="P10">
        <v>8</v>
      </c>
      <c r="Q10" t="s">
        <v>58</v>
      </c>
      <c r="R10" t="s">
        <v>32</v>
      </c>
      <c r="S10">
        <v>0</v>
      </c>
    </row>
    <row r="11" spans="1:19" x14ac:dyDescent="0.45">
      <c r="A11" t="s">
        <v>59</v>
      </c>
      <c r="B11" t="s">
        <v>20</v>
      </c>
      <c r="C11" t="s">
        <v>38</v>
      </c>
      <c r="D11" t="s">
        <v>50</v>
      </c>
      <c r="E11" s="1">
        <v>45479.666666666664</v>
      </c>
      <c r="F11" s="1">
        <v>45482.625</v>
      </c>
      <c r="G11">
        <v>71</v>
      </c>
      <c r="H11">
        <v>5.59</v>
      </c>
      <c r="I11">
        <v>7.8</v>
      </c>
      <c r="J11">
        <v>2.62</v>
      </c>
      <c r="K11">
        <v>0</v>
      </c>
      <c r="L11">
        <v>67.72</v>
      </c>
      <c r="M11" t="s">
        <v>30</v>
      </c>
      <c r="N11" t="s">
        <v>24</v>
      </c>
      <c r="O11">
        <v>71</v>
      </c>
      <c r="P11">
        <v>7</v>
      </c>
      <c r="Q11" t="s">
        <v>31</v>
      </c>
      <c r="R11" t="s">
        <v>32</v>
      </c>
      <c r="S11">
        <v>0</v>
      </c>
    </row>
    <row r="12" spans="1:19" x14ac:dyDescent="0.45">
      <c r="A12" t="s">
        <v>60</v>
      </c>
      <c r="B12" t="s">
        <v>28</v>
      </c>
      <c r="C12" t="s">
        <v>34</v>
      </c>
      <c r="D12" t="s">
        <v>50</v>
      </c>
      <c r="E12" s="1">
        <v>45570.708333333336</v>
      </c>
      <c r="F12" s="1">
        <v>45571.541666666664</v>
      </c>
      <c r="G12">
        <v>20</v>
      </c>
      <c r="H12">
        <v>5.3</v>
      </c>
      <c r="I12">
        <v>7.57</v>
      </c>
      <c r="J12">
        <v>2.77</v>
      </c>
      <c r="K12">
        <v>0</v>
      </c>
      <c r="L12">
        <v>66.540000000000006</v>
      </c>
      <c r="M12" t="s">
        <v>44</v>
      </c>
      <c r="N12" t="s">
        <v>24</v>
      </c>
      <c r="O12">
        <v>20</v>
      </c>
      <c r="P12">
        <v>10</v>
      </c>
      <c r="Q12" t="s">
        <v>61</v>
      </c>
      <c r="R12" t="s">
        <v>62</v>
      </c>
      <c r="S12">
        <v>0</v>
      </c>
    </row>
    <row r="13" spans="1:19" x14ac:dyDescent="0.45">
      <c r="A13" t="s">
        <v>63</v>
      </c>
      <c r="B13" t="s">
        <v>37</v>
      </c>
      <c r="C13" t="s">
        <v>21</v>
      </c>
      <c r="D13" t="s">
        <v>50</v>
      </c>
      <c r="E13" s="1">
        <v>45468.875</v>
      </c>
      <c r="F13" s="1">
        <v>45472.791666666664</v>
      </c>
      <c r="G13">
        <v>94</v>
      </c>
      <c r="H13">
        <v>5.37</v>
      </c>
      <c r="I13">
        <v>7.78</v>
      </c>
      <c r="J13">
        <v>2.5299999999999998</v>
      </c>
      <c r="K13">
        <v>0</v>
      </c>
      <c r="L13">
        <v>56.47</v>
      </c>
      <c r="M13" t="s">
        <v>23</v>
      </c>
      <c r="N13" t="s">
        <v>24</v>
      </c>
      <c r="O13">
        <v>94</v>
      </c>
      <c r="P13">
        <v>6</v>
      </c>
      <c r="Q13" t="s">
        <v>40</v>
      </c>
      <c r="R13" t="s">
        <v>32</v>
      </c>
      <c r="S13">
        <v>0</v>
      </c>
    </row>
    <row r="14" spans="1:19" x14ac:dyDescent="0.45">
      <c r="A14" t="s">
        <v>64</v>
      </c>
      <c r="B14" t="s">
        <v>48</v>
      </c>
      <c r="C14" t="s">
        <v>42</v>
      </c>
      <c r="D14" t="s">
        <v>56</v>
      </c>
      <c r="E14" s="1">
        <v>45330.958333333336</v>
      </c>
      <c r="F14" s="1">
        <v>45333.958333333336</v>
      </c>
      <c r="G14">
        <v>72</v>
      </c>
      <c r="H14">
        <v>4.97</v>
      </c>
      <c r="I14">
        <v>7.8</v>
      </c>
      <c r="J14">
        <v>2.52</v>
      </c>
      <c r="K14">
        <v>0</v>
      </c>
      <c r="L14">
        <v>72.180000000000007</v>
      </c>
      <c r="M14" t="s">
        <v>57</v>
      </c>
      <c r="N14" t="s">
        <v>24</v>
      </c>
      <c r="O14">
        <v>72</v>
      </c>
      <c r="P14">
        <v>2</v>
      </c>
      <c r="Q14" t="s">
        <v>65</v>
      </c>
      <c r="R14" t="s">
        <v>26</v>
      </c>
      <c r="S14">
        <v>0</v>
      </c>
    </row>
    <row r="15" spans="1:19" x14ac:dyDescent="0.45">
      <c r="A15" t="s">
        <v>66</v>
      </c>
      <c r="B15" t="s">
        <v>52</v>
      </c>
      <c r="C15" t="s">
        <v>34</v>
      </c>
      <c r="D15" t="s">
        <v>29</v>
      </c>
      <c r="E15" s="1">
        <v>45430.041666666664</v>
      </c>
      <c r="F15" s="1">
        <v>45432.708333333336</v>
      </c>
      <c r="G15">
        <v>64</v>
      </c>
      <c r="H15">
        <v>5.13</v>
      </c>
      <c r="I15">
        <v>7.74</v>
      </c>
      <c r="J15">
        <v>2.52</v>
      </c>
      <c r="K15">
        <v>0</v>
      </c>
      <c r="L15">
        <v>77.02</v>
      </c>
      <c r="M15" t="s">
        <v>23</v>
      </c>
      <c r="N15" t="s">
        <v>24</v>
      </c>
      <c r="O15">
        <v>64</v>
      </c>
      <c r="P15">
        <v>5</v>
      </c>
      <c r="Q15" t="s">
        <v>67</v>
      </c>
      <c r="R15" t="s">
        <v>46</v>
      </c>
      <c r="S15">
        <v>0</v>
      </c>
    </row>
    <row r="16" spans="1:19" x14ac:dyDescent="0.45">
      <c r="A16" t="s">
        <v>68</v>
      </c>
      <c r="B16" t="s">
        <v>48</v>
      </c>
      <c r="C16" t="s">
        <v>53</v>
      </c>
      <c r="D16" t="s">
        <v>29</v>
      </c>
      <c r="E16" s="1">
        <v>45390.75</v>
      </c>
      <c r="F16" s="1">
        <v>45391.958333333336</v>
      </c>
      <c r="G16">
        <v>29</v>
      </c>
      <c r="H16">
        <v>5.23</v>
      </c>
      <c r="I16">
        <v>7.76</v>
      </c>
      <c r="J16">
        <v>2.5099999999999998</v>
      </c>
      <c r="K16">
        <v>0</v>
      </c>
      <c r="L16">
        <v>52.53</v>
      </c>
      <c r="M16" t="s">
        <v>57</v>
      </c>
      <c r="N16" t="s">
        <v>24</v>
      </c>
      <c r="O16">
        <v>29</v>
      </c>
      <c r="P16">
        <v>4</v>
      </c>
      <c r="Q16" t="s">
        <v>69</v>
      </c>
      <c r="R16" t="s">
        <v>46</v>
      </c>
      <c r="S16">
        <v>0</v>
      </c>
    </row>
    <row r="17" spans="1:19" x14ac:dyDescent="0.45">
      <c r="A17" t="s">
        <v>70</v>
      </c>
      <c r="B17" t="s">
        <v>37</v>
      </c>
      <c r="C17" t="s">
        <v>21</v>
      </c>
      <c r="D17" t="s">
        <v>43</v>
      </c>
      <c r="E17" s="1">
        <v>45381.75</v>
      </c>
      <c r="F17" s="1">
        <v>45383.583333333336</v>
      </c>
      <c r="G17">
        <v>44</v>
      </c>
      <c r="H17">
        <v>4.96</v>
      </c>
      <c r="I17">
        <v>7.78</v>
      </c>
      <c r="J17">
        <v>2.56</v>
      </c>
      <c r="K17">
        <v>0</v>
      </c>
      <c r="L17">
        <v>43.97</v>
      </c>
      <c r="M17" t="s">
        <v>44</v>
      </c>
      <c r="N17" t="s">
        <v>24</v>
      </c>
      <c r="O17">
        <v>44</v>
      </c>
      <c r="P17">
        <v>3</v>
      </c>
      <c r="Q17" t="s">
        <v>45</v>
      </c>
      <c r="R17" t="s">
        <v>46</v>
      </c>
      <c r="S17">
        <v>0</v>
      </c>
    </row>
    <row r="18" spans="1:19" x14ac:dyDescent="0.45">
      <c r="A18" t="s">
        <v>71</v>
      </c>
      <c r="B18" t="s">
        <v>20</v>
      </c>
      <c r="C18" t="s">
        <v>42</v>
      </c>
      <c r="D18" t="s">
        <v>22</v>
      </c>
      <c r="E18" s="1">
        <v>45384</v>
      </c>
      <c r="F18" s="1">
        <v>45387</v>
      </c>
      <c r="G18">
        <v>64</v>
      </c>
      <c r="H18">
        <v>5.26</v>
      </c>
      <c r="I18">
        <v>7.8</v>
      </c>
      <c r="J18">
        <v>2.6</v>
      </c>
      <c r="K18">
        <v>0</v>
      </c>
      <c r="L18">
        <v>59.83</v>
      </c>
      <c r="M18" t="s">
        <v>43</v>
      </c>
      <c r="N18" t="s">
        <v>24</v>
      </c>
      <c r="O18">
        <v>64</v>
      </c>
      <c r="P18">
        <v>4</v>
      </c>
      <c r="Q18" t="s">
        <v>69</v>
      </c>
      <c r="R18" t="s">
        <v>46</v>
      </c>
      <c r="S18">
        <v>0</v>
      </c>
    </row>
    <row r="19" spans="1:19" x14ac:dyDescent="0.45">
      <c r="A19" t="s">
        <v>72</v>
      </c>
      <c r="B19" t="s">
        <v>37</v>
      </c>
      <c r="C19" t="s">
        <v>73</v>
      </c>
      <c r="D19" t="s">
        <v>29</v>
      </c>
      <c r="E19" s="1">
        <v>45525</v>
      </c>
      <c r="F19" s="1">
        <v>45528</v>
      </c>
      <c r="G19">
        <v>80</v>
      </c>
      <c r="H19">
        <v>5.03</v>
      </c>
      <c r="I19">
        <v>7.73</v>
      </c>
      <c r="J19">
        <v>2.52</v>
      </c>
      <c r="K19">
        <v>0</v>
      </c>
      <c r="L19">
        <v>60</v>
      </c>
      <c r="M19" t="s">
        <v>23</v>
      </c>
      <c r="N19" t="s">
        <v>24</v>
      </c>
      <c r="O19">
        <v>80</v>
      </c>
      <c r="P19">
        <v>8</v>
      </c>
      <c r="Q19" t="s">
        <v>58</v>
      </c>
      <c r="R19" t="s">
        <v>32</v>
      </c>
      <c r="S19">
        <v>0</v>
      </c>
    </row>
    <row r="20" spans="1:19" x14ac:dyDescent="0.45">
      <c r="A20" t="s">
        <v>74</v>
      </c>
      <c r="B20" t="s">
        <v>37</v>
      </c>
      <c r="C20" t="s">
        <v>53</v>
      </c>
      <c r="D20" t="s">
        <v>50</v>
      </c>
      <c r="E20" s="1">
        <v>45549.166666666664</v>
      </c>
      <c r="F20" s="1">
        <v>45550</v>
      </c>
      <c r="G20">
        <v>20</v>
      </c>
      <c r="H20">
        <v>5.0599999999999996</v>
      </c>
      <c r="I20">
        <v>7.15</v>
      </c>
      <c r="J20">
        <v>3.33</v>
      </c>
      <c r="K20">
        <v>0</v>
      </c>
      <c r="L20">
        <v>25.95</v>
      </c>
      <c r="M20" t="s">
        <v>75</v>
      </c>
      <c r="N20" t="s">
        <v>24</v>
      </c>
      <c r="O20">
        <v>20</v>
      </c>
      <c r="P20">
        <v>9</v>
      </c>
      <c r="Q20" t="s">
        <v>76</v>
      </c>
      <c r="R20" t="s">
        <v>32</v>
      </c>
      <c r="S20">
        <v>0</v>
      </c>
    </row>
    <row r="21" spans="1:19" x14ac:dyDescent="0.45">
      <c r="A21" t="s">
        <v>77</v>
      </c>
      <c r="B21" t="s">
        <v>52</v>
      </c>
      <c r="C21" t="s">
        <v>34</v>
      </c>
      <c r="D21" t="s">
        <v>78</v>
      </c>
      <c r="E21" s="1">
        <v>45447</v>
      </c>
      <c r="F21" s="1">
        <v>45448</v>
      </c>
      <c r="G21">
        <v>12</v>
      </c>
      <c r="H21">
        <v>5.57</v>
      </c>
      <c r="I21">
        <v>7.8</v>
      </c>
      <c r="J21">
        <v>2.6</v>
      </c>
      <c r="K21">
        <v>0</v>
      </c>
      <c r="L21">
        <v>64.540000000000006</v>
      </c>
      <c r="M21" t="s">
        <v>79</v>
      </c>
      <c r="N21" t="s">
        <v>24</v>
      </c>
      <c r="O21">
        <v>12</v>
      </c>
      <c r="P21">
        <v>6</v>
      </c>
      <c r="Q21" t="s">
        <v>40</v>
      </c>
      <c r="R21" t="s">
        <v>32</v>
      </c>
      <c r="S21">
        <v>0</v>
      </c>
    </row>
    <row r="22" spans="1:19" x14ac:dyDescent="0.45">
      <c r="A22" t="s">
        <v>80</v>
      </c>
      <c r="B22" t="s">
        <v>48</v>
      </c>
      <c r="C22" t="s">
        <v>73</v>
      </c>
      <c r="D22" t="s">
        <v>22</v>
      </c>
      <c r="E22" s="1">
        <v>45389</v>
      </c>
      <c r="F22" s="1">
        <v>45391</v>
      </c>
      <c r="G22">
        <v>49</v>
      </c>
      <c r="H22">
        <v>5.31</v>
      </c>
      <c r="I22">
        <v>7.6</v>
      </c>
      <c r="J22">
        <v>2.54</v>
      </c>
      <c r="K22">
        <v>0</v>
      </c>
      <c r="L22">
        <v>70.83</v>
      </c>
      <c r="M22" t="s">
        <v>23</v>
      </c>
      <c r="N22" t="s">
        <v>24</v>
      </c>
      <c r="O22">
        <v>49</v>
      </c>
      <c r="P22">
        <v>4</v>
      </c>
      <c r="Q22" t="s">
        <v>69</v>
      </c>
      <c r="R22" t="s">
        <v>46</v>
      </c>
      <c r="S22">
        <v>0</v>
      </c>
    </row>
    <row r="23" spans="1:19" x14ac:dyDescent="0.45">
      <c r="A23" t="s">
        <v>81</v>
      </c>
      <c r="B23" t="s">
        <v>52</v>
      </c>
      <c r="C23" t="s">
        <v>82</v>
      </c>
      <c r="D23" t="s">
        <v>22</v>
      </c>
      <c r="E23" s="1">
        <v>45536</v>
      </c>
      <c r="F23" s="1">
        <v>45539</v>
      </c>
      <c r="G23">
        <v>61</v>
      </c>
      <c r="H23">
        <v>5.18</v>
      </c>
      <c r="I23">
        <v>7.75</v>
      </c>
      <c r="J23">
        <v>2.5099999999999998</v>
      </c>
      <c r="K23">
        <v>0</v>
      </c>
      <c r="L23">
        <v>58.33</v>
      </c>
      <c r="M23" t="s">
        <v>30</v>
      </c>
      <c r="N23" t="s">
        <v>24</v>
      </c>
      <c r="O23">
        <v>61</v>
      </c>
      <c r="P23">
        <v>9</v>
      </c>
      <c r="Q23" t="s">
        <v>76</v>
      </c>
      <c r="R23" t="s">
        <v>32</v>
      </c>
      <c r="S23">
        <v>0</v>
      </c>
    </row>
    <row r="24" spans="1:19" x14ac:dyDescent="0.45">
      <c r="A24" t="s">
        <v>83</v>
      </c>
      <c r="B24" t="s">
        <v>20</v>
      </c>
      <c r="C24" t="s">
        <v>34</v>
      </c>
      <c r="D24" t="s">
        <v>50</v>
      </c>
      <c r="E24" s="1">
        <v>45484</v>
      </c>
      <c r="F24" s="1">
        <v>45488</v>
      </c>
      <c r="G24">
        <v>92</v>
      </c>
      <c r="H24">
        <v>5.74</v>
      </c>
      <c r="I24">
        <v>12.03</v>
      </c>
      <c r="J24">
        <v>2.5</v>
      </c>
      <c r="K24">
        <v>10</v>
      </c>
      <c r="L24">
        <v>76.23</v>
      </c>
      <c r="M24" t="s">
        <v>43</v>
      </c>
      <c r="N24" t="s">
        <v>39</v>
      </c>
      <c r="O24">
        <v>92</v>
      </c>
      <c r="P24">
        <v>7</v>
      </c>
      <c r="Q24" t="s">
        <v>31</v>
      </c>
      <c r="R24" t="s">
        <v>32</v>
      </c>
      <c r="S24">
        <v>76.23</v>
      </c>
    </row>
    <row r="25" spans="1:19" x14ac:dyDescent="0.45">
      <c r="A25" t="s">
        <v>84</v>
      </c>
      <c r="B25" t="s">
        <v>37</v>
      </c>
      <c r="C25" t="s">
        <v>42</v>
      </c>
      <c r="D25" t="s">
        <v>22</v>
      </c>
      <c r="E25" s="1">
        <v>45352</v>
      </c>
      <c r="F25" s="1">
        <v>45354</v>
      </c>
      <c r="G25">
        <v>58</v>
      </c>
      <c r="H25">
        <v>4.9400000000000004</v>
      </c>
      <c r="I25">
        <v>7.72</v>
      </c>
      <c r="J25">
        <v>2.58</v>
      </c>
      <c r="K25">
        <v>0</v>
      </c>
      <c r="L25">
        <v>48.51</v>
      </c>
      <c r="M25" t="s">
        <v>44</v>
      </c>
      <c r="N25" t="s">
        <v>24</v>
      </c>
      <c r="O25">
        <v>58</v>
      </c>
      <c r="P25">
        <v>3</v>
      </c>
      <c r="Q25" t="s">
        <v>45</v>
      </c>
      <c r="R25" t="s">
        <v>46</v>
      </c>
      <c r="S25">
        <v>0</v>
      </c>
    </row>
    <row r="26" spans="1:19" x14ac:dyDescent="0.45">
      <c r="A26" t="s">
        <v>85</v>
      </c>
      <c r="B26" t="s">
        <v>52</v>
      </c>
      <c r="C26" t="s">
        <v>53</v>
      </c>
      <c r="D26" t="s">
        <v>56</v>
      </c>
      <c r="E26" s="1">
        <v>45462.041666666664</v>
      </c>
      <c r="F26" s="1">
        <v>45465.125</v>
      </c>
      <c r="G26">
        <v>74</v>
      </c>
      <c r="H26">
        <v>5.19</v>
      </c>
      <c r="I26">
        <v>7.75</v>
      </c>
      <c r="J26">
        <v>2.5499999999999998</v>
      </c>
      <c r="K26">
        <v>0</v>
      </c>
      <c r="L26">
        <v>65.62</v>
      </c>
      <c r="M26" t="s">
        <v>57</v>
      </c>
      <c r="N26" t="s">
        <v>24</v>
      </c>
      <c r="O26">
        <v>74</v>
      </c>
      <c r="P26">
        <v>6</v>
      </c>
      <c r="Q26" t="s">
        <v>40</v>
      </c>
      <c r="R26" t="s">
        <v>32</v>
      </c>
      <c r="S26">
        <v>0</v>
      </c>
    </row>
    <row r="27" spans="1:19" x14ac:dyDescent="0.45">
      <c r="A27" t="s">
        <v>86</v>
      </c>
      <c r="B27" t="s">
        <v>48</v>
      </c>
      <c r="C27" t="s">
        <v>73</v>
      </c>
      <c r="D27" t="s">
        <v>29</v>
      </c>
      <c r="E27" s="1">
        <v>45357</v>
      </c>
      <c r="F27" s="1">
        <v>45359</v>
      </c>
      <c r="G27">
        <v>45</v>
      </c>
      <c r="H27">
        <v>4.8600000000000003</v>
      </c>
      <c r="I27">
        <v>7.73</v>
      </c>
      <c r="J27">
        <v>2.5</v>
      </c>
      <c r="K27">
        <v>0</v>
      </c>
      <c r="L27">
        <v>41.29</v>
      </c>
      <c r="M27" t="s">
        <v>57</v>
      </c>
      <c r="N27" t="s">
        <v>24</v>
      </c>
      <c r="O27">
        <v>45</v>
      </c>
      <c r="P27">
        <v>3</v>
      </c>
      <c r="Q27" t="s">
        <v>45</v>
      </c>
      <c r="R27" t="s">
        <v>46</v>
      </c>
      <c r="S27">
        <v>0</v>
      </c>
    </row>
    <row r="28" spans="1:19" x14ac:dyDescent="0.45">
      <c r="A28" t="s">
        <v>87</v>
      </c>
      <c r="B28" t="s">
        <v>37</v>
      </c>
      <c r="C28" t="s">
        <v>34</v>
      </c>
      <c r="D28" t="s">
        <v>50</v>
      </c>
      <c r="E28" s="1">
        <v>45294.208333333336</v>
      </c>
      <c r="F28" s="1">
        <v>45295.666666666664</v>
      </c>
      <c r="G28">
        <v>35</v>
      </c>
      <c r="H28">
        <v>4.97</v>
      </c>
      <c r="I28">
        <v>7.7</v>
      </c>
      <c r="J28">
        <v>2.59</v>
      </c>
      <c r="K28">
        <v>0</v>
      </c>
      <c r="L28">
        <v>16.260000000000002</v>
      </c>
      <c r="M28" t="s">
        <v>79</v>
      </c>
      <c r="N28" t="s">
        <v>24</v>
      </c>
      <c r="O28">
        <v>35</v>
      </c>
      <c r="P28">
        <v>1</v>
      </c>
      <c r="Q28" t="s">
        <v>25</v>
      </c>
      <c r="R28" t="s">
        <v>26</v>
      </c>
      <c r="S28">
        <v>0</v>
      </c>
    </row>
    <row r="29" spans="1:19" x14ac:dyDescent="0.45">
      <c r="A29" t="s">
        <v>88</v>
      </c>
      <c r="B29" t="s">
        <v>20</v>
      </c>
      <c r="C29" t="s">
        <v>73</v>
      </c>
      <c r="D29" t="s">
        <v>50</v>
      </c>
      <c r="E29" s="1">
        <v>45601.625</v>
      </c>
      <c r="F29" s="1">
        <v>45602.291666666664</v>
      </c>
      <c r="G29">
        <v>16</v>
      </c>
      <c r="H29">
        <v>4.84</v>
      </c>
      <c r="I29">
        <v>7.52</v>
      </c>
      <c r="J29">
        <v>2.87</v>
      </c>
      <c r="K29">
        <v>0</v>
      </c>
      <c r="L29">
        <v>29.22</v>
      </c>
      <c r="M29" t="s">
        <v>35</v>
      </c>
      <c r="N29" t="s">
        <v>24</v>
      </c>
      <c r="O29">
        <v>16</v>
      </c>
      <c r="P29">
        <v>11</v>
      </c>
      <c r="Q29" t="s">
        <v>89</v>
      </c>
      <c r="R29" t="s">
        <v>62</v>
      </c>
      <c r="S29">
        <v>0</v>
      </c>
    </row>
    <row r="30" spans="1:19" x14ac:dyDescent="0.45">
      <c r="A30" t="s">
        <v>90</v>
      </c>
      <c r="B30" t="s">
        <v>48</v>
      </c>
      <c r="C30" t="s">
        <v>53</v>
      </c>
      <c r="D30" t="s">
        <v>78</v>
      </c>
      <c r="E30" s="1">
        <v>45550.541666666664</v>
      </c>
      <c r="F30" s="1">
        <v>45551.583333333336</v>
      </c>
      <c r="G30">
        <v>25</v>
      </c>
      <c r="H30">
        <v>5.05</v>
      </c>
      <c r="I30">
        <v>7.77</v>
      </c>
      <c r="J30">
        <v>2.5</v>
      </c>
      <c r="K30">
        <v>0</v>
      </c>
      <c r="L30">
        <v>78.78</v>
      </c>
      <c r="M30" t="s">
        <v>57</v>
      </c>
      <c r="N30" t="s">
        <v>24</v>
      </c>
      <c r="O30">
        <v>25</v>
      </c>
      <c r="P30">
        <v>9</v>
      </c>
      <c r="Q30" t="s">
        <v>76</v>
      </c>
      <c r="R30" t="s">
        <v>32</v>
      </c>
      <c r="S30">
        <v>0</v>
      </c>
    </row>
    <row r="31" spans="1:19" x14ac:dyDescent="0.45">
      <c r="A31" t="s">
        <v>91</v>
      </c>
      <c r="B31" t="s">
        <v>52</v>
      </c>
      <c r="C31" t="s">
        <v>42</v>
      </c>
      <c r="D31" t="s">
        <v>50</v>
      </c>
      <c r="E31" s="1">
        <v>45328.458333333336</v>
      </c>
      <c r="F31" s="1">
        <v>45330.291666666664</v>
      </c>
      <c r="G31">
        <v>44</v>
      </c>
      <c r="H31">
        <v>5.41</v>
      </c>
      <c r="I31">
        <v>7.62</v>
      </c>
      <c r="J31">
        <v>2.62</v>
      </c>
      <c r="K31">
        <v>0</v>
      </c>
      <c r="L31">
        <v>28.25</v>
      </c>
      <c r="M31" t="s">
        <v>30</v>
      </c>
      <c r="N31" t="s">
        <v>24</v>
      </c>
      <c r="O31">
        <v>44</v>
      </c>
      <c r="P31">
        <v>2</v>
      </c>
      <c r="Q31" t="s">
        <v>65</v>
      </c>
      <c r="R31" t="s">
        <v>26</v>
      </c>
      <c r="S31">
        <v>0</v>
      </c>
    </row>
    <row r="32" spans="1:19" x14ac:dyDescent="0.45">
      <c r="A32" t="s">
        <v>92</v>
      </c>
      <c r="B32" t="s">
        <v>48</v>
      </c>
      <c r="C32" t="s">
        <v>93</v>
      </c>
      <c r="D32" t="s">
        <v>50</v>
      </c>
      <c r="E32" s="1">
        <v>45298</v>
      </c>
      <c r="F32" s="1">
        <v>45301</v>
      </c>
      <c r="G32">
        <v>73</v>
      </c>
      <c r="H32">
        <v>6.16</v>
      </c>
      <c r="I32">
        <v>12.42</v>
      </c>
      <c r="J32">
        <v>2.52</v>
      </c>
      <c r="K32">
        <v>13</v>
      </c>
      <c r="L32">
        <v>22.66</v>
      </c>
      <c r="M32" t="s">
        <v>79</v>
      </c>
      <c r="N32" t="s">
        <v>39</v>
      </c>
      <c r="O32">
        <v>73</v>
      </c>
      <c r="P32">
        <v>1</v>
      </c>
      <c r="Q32" t="s">
        <v>25</v>
      </c>
      <c r="R32" t="s">
        <v>26</v>
      </c>
      <c r="S32">
        <v>22.66</v>
      </c>
    </row>
    <row r="33" spans="1:19" x14ac:dyDescent="0.45">
      <c r="A33" t="s">
        <v>94</v>
      </c>
      <c r="B33" t="s">
        <v>48</v>
      </c>
      <c r="C33" t="s">
        <v>93</v>
      </c>
      <c r="D33" t="s">
        <v>50</v>
      </c>
      <c r="E33" s="1">
        <v>45570.666666666664</v>
      </c>
      <c r="F33" s="1">
        <v>45574.208333333336</v>
      </c>
      <c r="G33">
        <v>85</v>
      </c>
      <c r="H33">
        <v>5.72</v>
      </c>
      <c r="I33">
        <v>12.38</v>
      </c>
      <c r="J33">
        <v>2.5</v>
      </c>
      <c r="K33">
        <v>6</v>
      </c>
      <c r="L33">
        <v>22.64</v>
      </c>
      <c r="M33" t="s">
        <v>44</v>
      </c>
      <c r="N33" t="s">
        <v>39</v>
      </c>
      <c r="O33">
        <v>85</v>
      </c>
      <c r="P33">
        <v>10</v>
      </c>
      <c r="Q33" t="s">
        <v>61</v>
      </c>
      <c r="R33" t="s">
        <v>62</v>
      </c>
      <c r="S33">
        <v>22.64</v>
      </c>
    </row>
    <row r="34" spans="1:19" x14ac:dyDescent="0.45">
      <c r="A34" t="s">
        <v>95</v>
      </c>
      <c r="B34" t="s">
        <v>48</v>
      </c>
      <c r="C34" t="s">
        <v>34</v>
      </c>
      <c r="D34" t="s">
        <v>50</v>
      </c>
      <c r="E34" s="1">
        <v>45342.833333333336</v>
      </c>
      <c r="F34" s="1">
        <v>45344.541666666664</v>
      </c>
      <c r="G34">
        <v>41</v>
      </c>
      <c r="H34">
        <v>6.47</v>
      </c>
      <c r="I34">
        <v>12.49</v>
      </c>
      <c r="J34">
        <v>2.7</v>
      </c>
      <c r="K34">
        <v>8</v>
      </c>
      <c r="L34">
        <v>13.09</v>
      </c>
      <c r="M34" t="s">
        <v>57</v>
      </c>
      <c r="N34" t="s">
        <v>39</v>
      </c>
      <c r="O34">
        <v>41</v>
      </c>
      <c r="P34">
        <v>2</v>
      </c>
      <c r="Q34" t="s">
        <v>65</v>
      </c>
      <c r="R34" t="s">
        <v>26</v>
      </c>
      <c r="S34">
        <v>13.09</v>
      </c>
    </row>
    <row r="35" spans="1:19" x14ac:dyDescent="0.45">
      <c r="A35" t="s">
        <v>96</v>
      </c>
      <c r="B35" t="s">
        <v>48</v>
      </c>
      <c r="C35" t="s">
        <v>34</v>
      </c>
      <c r="D35" t="s">
        <v>50</v>
      </c>
      <c r="E35" s="1">
        <v>45300</v>
      </c>
      <c r="F35" s="1">
        <v>45303</v>
      </c>
      <c r="G35">
        <v>93</v>
      </c>
      <c r="H35">
        <v>5.04</v>
      </c>
      <c r="I35">
        <v>7.7</v>
      </c>
      <c r="J35">
        <v>2.62</v>
      </c>
      <c r="K35">
        <v>0</v>
      </c>
      <c r="L35">
        <v>36.32</v>
      </c>
      <c r="M35" t="s">
        <v>23</v>
      </c>
      <c r="N35" t="s">
        <v>24</v>
      </c>
      <c r="O35">
        <v>93</v>
      </c>
      <c r="P35">
        <v>1</v>
      </c>
      <c r="Q35" t="s">
        <v>25</v>
      </c>
      <c r="R35" t="s">
        <v>26</v>
      </c>
      <c r="S35">
        <v>0</v>
      </c>
    </row>
    <row r="36" spans="1:19" x14ac:dyDescent="0.45">
      <c r="A36" t="s">
        <v>97</v>
      </c>
      <c r="B36" t="s">
        <v>28</v>
      </c>
      <c r="C36" t="s">
        <v>38</v>
      </c>
      <c r="D36" t="s">
        <v>22</v>
      </c>
      <c r="E36" s="1">
        <v>45533.125</v>
      </c>
      <c r="F36" s="1">
        <v>45536.625</v>
      </c>
      <c r="G36">
        <v>84</v>
      </c>
      <c r="H36">
        <v>5.31</v>
      </c>
      <c r="I36">
        <v>7.78</v>
      </c>
      <c r="J36">
        <v>2.5499999999999998</v>
      </c>
      <c r="K36">
        <v>0</v>
      </c>
      <c r="L36">
        <v>36.18</v>
      </c>
      <c r="M36" t="s">
        <v>30</v>
      </c>
      <c r="N36" t="s">
        <v>24</v>
      </c>
      <c r="O36">
        <v>84</v>
      </c>
      <c r="P36">
        <v>8</v>
      </c>
      <c r="Q36" t="s">
        <v>58</v>
      </c>
      <c r="R36" t="s">
        <v>32</v>
      </c>
      <c r="S36">
        <v>0</v>
      </c>
    </row>
    <row r="37" spans="1:19" x14ac:dyDescent="0.45">
      <c r="A37" t="s">
        <v>98</v>
      </c>
      <c r="B37" t="s">
        <v>37</v>
      </c>
      <c r="C37" t="s">
        <v>53</v>
      </c>
      <c r="D37" t="s">
        <v>50</v>
      </c>
      <c r="E37" s="1">
        <v>45295</v>
      </c>
      <c r="F37" s="1">
        <v>45298</v>
      </c>
      <c r="G37">
        <v>85</v>
      </c>
      <c r="H37">
        <v>5.47</v>
      </c>
      <c r="I37">
        <v>12.2</v>
      </c>
      <c r="J37">
        <v>2.5099999999999998</v>
      </c>
      <c r="K37">
        <v>6</v>
      </c>
      <c r="L37">
        <v>35.729999999999997</v>
      </c>
      <c r="M37" t="s">
        <v>75</v>
      </c>
      <c r="N37" t="s">
        <v>39</v>
      </c>
      <c r="O37">
        <v>85</v>
      </c>
      <c r="P37">
        <v>1</v>
      </c>
      <c r="Q37" t="s">
        <v>25</v>
      </c>
      <c r="R37" t="s">
        <v>26</v>
      </c>
      <c r="S37">
        <v>35.729999999999997</v>
      </c>
    </row>
    <row r="38" spans="1:19" x14ac:dyDescent="0.45">
      <c r="A38" t="s">
        <v>99</v>
      </c>
      <c r="B38" t="s">
        <v>52</v>
      </c>
      <c r="C38" t="s">
        <v>34</v>
      </c>
      <c r="D38" t="s">
        <v>56</v>
      </c>
      <c r="E38" s="1">
        <v>45578</v>
      </c>
      <c r="F38" s="1">
        <v>45581</v>
      </c>
      <c r="G38">
        <v>73</v>
      </c>
      <c r="H38">
        <v>5.17</v>
      </c>
      <c r="I38">
        <v>7.7</v>
      </c>
      <c r="J38">
        <v>2.5</v>
      </c>
      <c r="K38">
        <v>0</v>
      </c>
      <c r="L38">
        <v>69.97</v>
      </c>
      <c r="M38" t="s">
        <v>57</v>
      </c>
      <c r="N38" t="s">
        <v>24</v>
      </c>
      <c r="O38">
        <v>73</v>
      </c>
      <c r="P38">
        <v>10</v>
      </c>
      <c r="Q38" t="s">
        <v>61</v>
      </c>
      <c r="R38" t="s">
        <v>62</v>
      </c>
      <c r="S38">
        <v>0</v>
      </c>
    </row>
    <row r="39" spans="1:19" x14ac:dyDescent="0.45">
      <c r="A39" t="s">
        <v>100</v>
      </c>
      <c r="B39" t="s">
        <v>37</v>
      </c>
      <c r="C39" t="s">
        <v>53</v>
      </c>
      <c r="D39" t="s">
        <v>56</v>
      </c>
      <c r="E39" s="1">
        <v>45608</v>
      </c>
      <c r="F39" s="1">
        <v>45611</v>
      </c>
      <c r="G39">
        <v>65</v>
      </c>
      <c r="H39">
        <v>5.41</v>
      </c>
      <c r="I39">
        <v>7.66</v>
      </c>
      <c r="J39">
        <v>2.5099999999999998</v>
      </c>
      <c r="K39">
        <v>0</v>
      </c>
      <c r="L39">
        <v>32.049999999999997</v>
      </c>
      <c r="M39" t="s">
        <v>79</v>
      </c>
      <c r="N39" t="s">
        <v>24</v>
      </c>
      <c r="O39">
        <v>65</v>
      </c>
      <c r="P39">
        <v>11</v>
      </c>
      <c r="Q39" t="s">
        <v>89</v>
      </c>
      <c r="R39" t="s">
        <v>62</v>
      </c>
      <c r="S39">
        <v>0</v>
      </c>
    </row>
    <row r="40" spans="1:19" x14ac:dyDescent="0.45">
      <c r="A40" t="s">
        <v>101</v>
      </c>
      <c r="B40" t="s">
        <v>37</v>
      </c>
      <c r="C40" t="s">
        <v>38</v>
      </c>
      <c r="D40" t="s">
        <v>78</v>
      </c>
      <c r="E40" s="1">
        <v>45554</v>
      </c>
      <c r="F40" s="1">
        <v>45555</v>
      </c>
      <c r="G40">
        <v>32</v>
      </c>
      <c r="H40">
        <v>5.0999999999999996</v>
      </c>
      <c r="I40">
        <v>7.76</v>
      </c>
      <c r="J40">
        <v>2.69</v>
      </c>
      <c r="K40">
        <v>0</v>
      </c>
      <c r="L40">
        <v>41.06</v>
      </c>
      <c r="M40" t="s">
        <v>43</v>
      </c>
      <c r="N40" t="s">
        <v>24</v>
      </c>
      <c r="O40">
        <v>32</v>
      </c>
      <c r="P40">
        <v>9</v>
      </c>
      <c r="Q40" t="s">
        <v>76</v>
      </c>
      <c r="R40" t="s">
        <v>32</v>
      </c>
      <c r="S40">
        <v>0</v>
      </c>
    </row>
    <row r="41" spans="1:19" x14ac:dyDescent="0.45">
      <c r="A41" t="s">
        <v>102</v>
      </c>
      <c r="B41" t="s">
        <v>20</v>
      </c>
      <c r="C41" t="s">
        <v>38</v>
      </c>
      <c r="D41" t="s">
        <v>22</v>
      </c>
      <c r="E41" s="1">
        <v>45584.583333333336</v>
      </c>
      <c r="F41" s="1">
        <v>45586.708333333336</v>
      </c>
      <c r="G41">
        <v>51</v>
      </c>
      <c r="H41">
        <v>4.84</v>
      </c>
      <c r="I41">
        <v>7.66</v>
      </c>
      <c r="J41">
        <v>2.58</v>
      </c>
      <c r="K41">
        <v>0</v>
      </c>
      <c r="L41">
        <v>62.6</v>
      </c>
      <c r="M41" t="s">
        <v>23</v>
      </c>
      <c r="N41" t="s">
        <v>24</v>
      </c>
      <c r="O41">
        <v>51</v>
      </c>
      <c r="P41">
        <v>10</v>
      </c>
      <c r="Q41" t="s">
        <v>61</v>
      </c>
      <c r="R41" t="s">
        <v>62</v>
      </c>
      <c r="S41">
        <v>0</v>
      </c>
    </row>
    <row r="42" spans="1:19" x14ac:dyDescent="0.45">
      <c r="A42" t="s">
        <v>103</v>
      </c>
      <c r="B42" t="s">
        <v>28</v>
      </c>
      <c r="C42" t="s">
        <v>53</v>
      </c>
      <c r="D42" t="s">
        <v>78</v>
      </c>
      <c r="E42" s="1">
        <v>45503</v>
      </c>
      <c r="F42" s="1">
        <v>45507</v>
      </c>
      <c r="G42">
        <v>84</v>
      </c>
      <c r="H42">
        <v>5.89</v>
      </c>
      <c r="I42">
        <v>12.47</v>
      </c>
      <c r="J42">
        <v>2.54</v>
      </c>
      <c r="K42">
        <v>15</v>
      </c>
      <c r="L42">
        <v>27.39</v>
      </c>
      <c r="M42" t="s">
        <v>44</v>
      </c>
      <c r="N42" t="s">
        <v>39</v>
      </c>
      <c r="O42">
        <v>84</v>
      </c>
      <c r="P42">
        <v>7</v>
      </c>
      <c r="Q42" t="s">
        <v>31</v>
      </c>
      <c r="R42" t="s">
        <v>32</v>
      </c>
      <c r="S42">
        <v>27.39</v>
      </c>
    </row>
    <row r="43" spans="1:19" x14ac:dyDescent="0.45">
      <c r="A43" t="s">
        <v>104</v>
      </c>
      <c r="B43" t="s">
        <v>20</v>
      </c>
      <c r="C43" t="s">
        <v>82</v>
      </c>
      <c r="D43" t="s">
        <v>22</v>
      </c>
      <c r="E43" s="1">
        <v>45400.875</v>
      </c>
      <c r="F43" s="1">
        <v>45404.458333333336</v>
      </c>
      <c r="G43">
        <v>86</v>
      </c>
      <c r="H43">
        <v>5.2</v>
      </c>
      <c r="I43">
        <v>7.79</v>
      </c>
      <c r="J43">
        <v>2.57</v>
      </c>
      <c r="K43">
        <v>0</v>
      </c>
      <c r="L43">
        <v>35.49</v>
      </c>
      <c r="M43" t="s">
        <v>35</v>
      </c>
      <c r="N43" t="s">
        <v>24</v>
      </c>
      <c r="O43">
        <v>86</v>
      </c>
      <c r="P43">
        <v>4</v>
      </c>
      <c r="Q43" t="s">
        <v>69</v>
      </c>
      <c r="R43" t="s">
        <v>46</v>
      </c>
      <c r="S43">
        <v>0</v>
      </c>
    </row>
    <row r="44" spans="1:19" x14ac:dyDescent="0.45">
      <c r="A44" t="s">
        <v>105</v>
      </c>
      <c r="B44" t="s">
        <v>28</v>
      </c>
      <c r="C44" t="s">
        <v>42</v>
      </c>
      <c r="D44" t="s">
        <v>50</v>
      </c>
      <c r="E44" s="1">
        <v>45501</v>
      </c>
      <c r="F44" s="1">
        <v>45504</v>
      </c>
      <c r="G44">
        <v>69</v>
      </c>
      <c r="H44">
        <v>5.0999999999999996</v>
      </c>
      <c r="I44">
        <v>7.72</v>
      </c>
      <c r="J44">
        <v>2.76</v>
      </c>
      <c r="K44">
        <v>0</v>
      </c>
      <c r="L44">
        <v>60.55</v>
      </c>
      <c r="M44" t="s">
        <v>106</v>
      </c>
      <c r="N44" t="s">
        <v>24</v>
      </c>
      <c r="O44">
        <v>69</v>
      </c>
      <c r="P44">
        <v>7</v>
      </c>
      <c r="Q44" t="s">
        <v>31</v>
      </c>
      <c r="R44" t="s">
        <v>32</v>
      </c>
      <c r="S44">
        <v>0</v>
      </c>
    </row>
    <row r="45" spans="1:19" x14ac:dyDescent="0.45">
      <c r="A45" t="s">
        <v>107</v>
      </c>
      <c r="B45" t="s">
        <v>20</v>
      </c>
      <c r="C45" t="s">
        <v>53</v>
      </c>
      <c r="D45" t="s">
        <v>22</v>
      </c>
      <c r="E45" s="1">
        <v>45331.708333333336</v>
      </c>
      <c r="F45" s="1">
        <v>45335.666666666664</v>
      </c>
      <c r="G45">
        <v>95</v>
      </c>
      <c r="H45">
        <v>5.08</v>
      </c>
      <c r="I45">
        <v>7.8</v>
      </c>
      <c r="J45">
        <v>2.52</v>
      </c>
      <c r="K45">
        <v>0</v>
      </c>
      <c r="L45">
        <v>14.64</v>
      </c>
      <c r="M45" t="s">
        <v>44</v>
      </c>
      <c r="N45" t="s">
        <v>24</v>
      </c>
      <c r="O45">
        <v>95</v>
      </c>
      <c r="P45">
        <v>2</v>
      </c>
      <c r="Q45" t="s">
        <v>65</v>
      </c>
      <c r="R45" t="s">
        <v>26</v>
      </c>
      <c r="S45">
        <v>0</v>
      </c>
    </row>
    <row r="46" spans="1:19" x14ac:dyDescent="0.45">
      <c r="A46" t="s">
        <v>108</v>
      </c>
      <c r="B46" t="s">
        <v>28</v>
      </c>
      <c r="C46" t="s">
        <v>53</v>
      </c>
      <c r="D46" t="s">
        <v>50</v>
      </c>
      <c r="E46" s="1">
        <v>45525.958333333336</v>
      </c>
      <c r="F46" s="1">
        <v>45528.458333333336</v>
      </c>
      <c r="G46">
        <v>60</v>
      </c>
      <c r="H46">
        <v>5.27</v>
      </c>
      <c r="I46">
        <v>9.1</v>
      </c>
      <c r="J46">
        <v>2.57</v>
      </c>
      <c r="K46">
        <v>3</v>
      </c>
      <c r="L46">
        <v>37.08</v>
      </c>
      <c r="M46" t="s">
        <v>79</v>
      </c>
      <c r="N46" t="s">
        <v>109</v>
      </c>
      <c r="O46">
        <v>60</v>
      </c>
      <c r="P46">
        <v>8</v>
      </c>
      <c r="Q46" t="s">
        <v>58</v>
      </c>
      <c r="R46" t="s">
        <v>32</v>
      </c>
      <c r="S46">
        <v>0</v>
      </c>
    </row>
    <row r="47" spans="1:19" x14ac:dyDescent="0.45">
      <c r="A47" t="s">
        <v>110</v>
      </c>
      <c r="B47" t="s">
        <v>52</v>
      </c>
      <c r="C47" t="s">
        <v>93</v>
      </c>
      <c r="D47" t="s">
        <v>22</v>
      </c>
      <c r="E47" s="1">
        <v>45357</v>
      </c>
      <c r="F47" s="1">
        <v>45359</v>
      </c>
      <c r="G47">
        <v>51</v>
      </c>
      <c r="H47">
        <v>4.99</v>
      </c>
      <c r="I47">
        <v>7.76</v>
      </c>
      <c r="J47">
        <v>2.62</v>
      </c>
      <c r="K47">
        <v>0</v>
      </c>
      <c r="L47">
        <v>62.64</v>
      </c>
      <c r="M47" t="s">
        <v>35</v>
      </c>
      <c r="N47" t="s">
        <v>24</v>
      </c>
      <c r="O47">
        <v>51</v>
      </c>
      <c r="P47">
        <v>3</v>
      </c>
      <c r="Q47" t="s">
        <v>45</v>
      </c>
      <c r="R47" t="s">
        <v>46</v>
      </c>
      <c r="S47">
        <v>0</v>
      </c>
    </row>
    <row r="48" spans="1:19" x14ac:dyDescent="0.45">
      <c r="A48" t="s">
        <v>111</v>
      </c>
      <c r="B48" t="s">
        <v>37</v>
      </c>
      <c r="C48" t="s">
        <v>73</v>
      </c>
      <c r="D48" t="s">
        <v>22</v>
      </c>
      <c r="E48" s="1">
        <v>45454.75</v>
      </c>
      <c r="F48" s="1">
        <v>45458.708333333336</v>
      </c>
      <c r="G48">
        <v>95</v>
      </c>
      <c r="H48">
        <v>5.25</v>
      </c>
      <c r="I48">
        <v>7.76</v>
      </c>
      <c r="J48">
        <v>2.54</v>
      </c>
      <c r="K48">
        <v>0</v>
      </c>
      <c r="L48">
        <v>54.75</v>
      </c>
      <c r="M48" t="s">
        <v>75</v>
      </c>
      <c r="N48" t="s">
        <v>24</v>
      </c>
      <c r="O48">
        <v>95</v>
      </c>
      <c r="P48">
        <v>6</v>
      </c>
      <c r="Q48" t="s">
        <v>40</v>
      </c>
      <c r="R48" t="s">
        <v>32</v>
      </c>
      <c r="S48">
        <v>0</v>
      </c>
    </row>
    <row r="49" spans="1:19" x14ac:dyDescent="0.45">
      <c r="A49" t="s">
        <v>112</v>
      </c>
      <c r="B49" t="s">
        <v>37</v>
      </c>
      <c r="C49" t="s">
        <v>93</v>
      </c>
      <c r="D49" t="s">
        <v>43</v>
      </c>
      <c r="E49" s="1">
        <v>45617</v>
      </c>
      <c r="F49" s="1">
        <v>45618</v>
      </c>
      <c r="G49">
        <v>38</v>
      </c>
      <c r="H49">
        <v>7.88</v>
      </c>
      <c r="I49">
        <v>12.11</v>
      </c>
      <c r="J49">
        <v>2.85</v>
      </c>
      <c r="K49">
        <v>15</v>
      </c>
      <c r="L49">
        <v>34.19</v>
      </c>
      <c r="M49" t="s">
        <v>57</v>
      </c>
      <c r="N49" t="s">
        <v>39</v>
      </c>
      <c r="O49">
        <v>38</v>
      </c>
      <c r="P49">
        <v>11</v>
      </c>
      <c r="Q49" t="s">
        <v>89</v>
      </c>
      <c r="R49" t="s">
        <v>62</v>
      </c>
      <c r="S49">
        <v>34.19</v>
      </c>
    </row>
    <row r="50" spans="1:19" x14ac:dyDescent="0.45">
      <c r="A50" t="s">
        <v>113</v>
      </c>
      <c r="B50" t="s">
        <v>20</v>
      </c>
      <c r="C50" t="s">
        <v>34</v>
      </c>
      <c r="D50" t="s">
        <v>56</v>
      </c>
      <c r="E50" s="1">
        <v>45434.916666666664</v>
      </c>
      <c r="F50" s="1">
        <v>45435.75</v>
      </c>
      <c r="G50">
        <v>20</v>
      </c>
      <c r="H50">
        <v>5.3</v>
      </c>
      <c r="I50">
        <v>7.62</v>
      </c>
      <c r="J50">
        <v>3.1</v>
      </c>
      <c r="K50">
        <v>0</v>
      </c>
      <c r="L50">
        <v>48.3</v>
      </c>
      <c r="M50" t="s">
        <v>106</v>
      </c>
      <c r="N50" t="s">
        <v>24</v>
      </c>
      <c r="O50">
        <v>20</v>
      </c>
      <c r="P50">
        <v>5</v>
      </c>
      <c r="Q50" t="s">
        <v>67</v>
      </c>
      <c r="R50" t="s">
        <v>46</v>
      </c>
      <c r="S50">
        <v>0</v>
      </c>
    </row>
    <row r="51" spans="1:19" x14ac:dyDescent="0.45">
      <c r="A51" t="s">
        <v>114</v>
      </c>
      <c r="B51" t="s">
        <v>20</v>
      </c>
      <c r="C51" t="s">
        <v>21</v>
      </c>
      <c r="D51" t="s">
        <v>29</v>
      </c>
      <c r="E51" s="1">
        <v>45473</v>
      </c>
      <c r="F51" s="1">
        <v>45475</v>
      </c>
      <c r="G51">
        <v>44</v>
      </c>
      <c r="H51">
        <v>5.45</v>
      </c>
      <c r="I51">
        <v>8.9499999999999993</v>
      </c>
      <c r="J51">
        <v>2.52</v>
      </c>
      <c r="K51">
        <v>3</v>
      </c>
      <c r="L51">
        <v>38.06</v>
      </c>
      <c r="M51" t="s">
        <v>106</v>
      </c>
      <c r="N51" t="s">
        <v>109</v>
      </c>
      <c r="O51">
        <v>44</v>
      </c>
      <c r="P51">
        <v>6</v>
      </c>
      <c r="Q51" t="s">
        <v>40</v>
      </c>
      <c r="R51" t="s">
        <v>32</v>
      </c>
      <c r="S51">
        <v>0</v>
      </c>
    </row>
    <row r="52" spans="1:19" x14ac:dyDescent="0.45">
      <c r="A52" t="s">
        <v>115</v>
      </c>
      <c r="B52" t="s">
        <v>52</v>
      </c>
      <c r="C52" t="s">
        <v>73</v>
      </c>
      <c r="D52" t="s">
        <v>56</v>
      </c>
      <c r="E52" s="1">
        <v>45482.541666666664</v>
      </c>
      <c r="F52" s="1">
        <v>45486.208333333336</v>
      </c>
      <c r="G52">
        <v>88</v>
      </c>
      <c r="H52">
        <v>5.4</v>
      </c>
      <c r="I52">
        <v>7.77</v>
      </c>
      <c r="J52">
        <v>2.5299999999999998</v>
      </c>
      <c r="K52">
        <v>0</v>
      </c>
      <c r="L52">
        <v>8.4499999999999993</v>
      </c>
      <c r="M52" t="s">
        <v>30</v>
      </c>
      <c r="N52" t="s">
        <v>24</v>
      </c>
      <c r="O52">
        <v>88</v>
      </c>
      <c r="P52">
        <v>7</v>
      </c>
      <c r="Q52" t="s">
        <v>31</v>
      </c>
      <c r="R52" t="s">
        <v>32</v>
      </c>
      <c r="S52">
        <v>0</v>
      </c>
    </row>
    <row r="53" spans="1:19" x14ac:dyDescent="0.45">
      <c r="A53" t="s">
        <v>116</v>
      </c>
      <c r="B53" t="s">
        <v>48</v>
      </c>
      <c r="C53" t="s">
        <v>53</v>
      </c>
      <c r="D53" t="s">
        <v>56</v>
      </c>
      <c r="E53" s="1">
        <v>45462</v>
      </c>
      <c r="F53" s="1">
        <v>45465</v>
      </c>
      <c r="G53">
        <v>84</v>
      </c>
      <c r="H53">
        <v>5.35</v>
      </c>
      <c r="I53">
        <v>7.79</v>
      </c>
      <c r="J53">
        <v>2.54</v>
      </c>
      <c r="K53">
        <v>0</v>
      </c>
      <c r="L53">
        <v>49.59</v>
      </c>
      <c r="M53" t="s">
        <v>57</v>
      </c>
      <c r="N53" t="s">
        <v>24</v>
      </c>
      <c r="O53">
        <v>84</v>
      </c>
      <c r="P53">
        <v>6</v>
      </c>
      <c r="Q53" t="s">
        <v>40</v>
      </c>
      <c r="R53" t="s">
        <v>32</v>
      </c>
      <c r="S53">
        <v>0</v>
      </c>
    </row>
    <row r="54" spans="1:19" x14ac:dyDescent="0.45">
      <c r="A54" t="s">
        <v>117</v>
      </c>
      <c r="B54" t="s">
        <v>52</v>
      </c>
      <c r="C54" t="s">
        <v>34</v>
      </c>
      <c r="D54" t="s">
        <v>56</v>
      </c>
      <c r="E54" s="1">
        <v>45512.583333333336</v>
      </c>
      <c r="F54" s="1">
        <v>45514.458333333336</v>
      </c>
      <c r="G54">
        <v>45</v>
      </c>
      <c r="H54">
        <v>5.1100000000000003</v>
      </c>
      <c r="I54">
        <v>7.75</v>
      </c>
      <c r="J54">
        <v>2.67</v>
      </c>
      <c r="K54">
        <v>0</v>
      </c>
      <c r="L54">
        <v>51.8</v>
      </c>
      <c r="M54" t="s">
        <v>44</v>
      </c>
      <c r="N54" t="s">
        <v>24</v>
      </c>
      <c r="O54">
        <v>45</v>
      </c>
      <c r="P54">
        <v>8</v>
      </c>
      <c r="Q54" t="s">
        <v>58</v>
      </c>
      <c r="R54" t="s">
        <v>32</v>
      </c>
      <c r="S54">
        <v>0</v>
      </c>
    </row>
    <row r="55" spans="1:19" x14ac:dyDescent="0.45">
      <c r="A55" t="s">
        <v>118</v>
      </c>
      <c r="B55" t="s">
        <v>37</v>
      </c>
      <c r="C55" t="s">
        <v>53</v>
      </c>
      <c r="D55" t="s">
        <v>78</v>
      </c>
      <c r="E55" s="1">
        <v>45292.666666666664</v>
      </c>
      <c r="F55" s="1">
        <v>45295.75</v>
      </c>
      <c r="G55">
        <v>74</v>
      </c>
      <c r="H55">
        <v>4.9800000000000004</v>
      </c>
      <c r="I55">
        <v>7.75</v>
      </c>
      <c r="J55">
        <v>2.56</v>
      </c>
      <c r="K55">
        <v>0</v>
      </c>
      <c r="L55">
        <v>47.01</v>
      </c>
      <c r="M55" t="s">
        <v>23</v>
      </c>
      <c r="N55" t="s">
        <v>24</v>
      </c>
      <c r="O55">
        <v>74</v>
      </c>
      <c r="P55">
        <v>1</v>
      </c>
      <c r="Q55" t="s">
        <v>25</v>
      </c>
      <c r="R55" t="s">
        <v>26</v>
      </c>
      <c r="S55">
        <v>0</v>
      </c>
    </row>
    <row r="56" spans="1:19" x14ac:dyDescent="0.45">
      <c r="A56" t="s">
        <v>119</v>
      </c>
      <c r="B56" t="s">
        <v>52</v>
      </c>
      <c r="C56" t="s">
        <v>34</v>
      </c>
      <c r="D56" t="s">
        <v>56</v>
      </c>
      <c r="E56" s="1">
        <v>45512.291666666664</v>
      </c>
      <c r="F56" s="1">
        <v>45513</v>
      </c>
      <c r="G56">
        <v>17</v>
      </c>
      <c r="H56">
        <v>4.53</v>
      </c>
      <c r="I56">
        <v>6.95</v>
      </c>
      <c r="J56">
        <v>2.59</v>
      </c>
      <c r="K56">
        <v>0</v>
      </c>
      <c r="L56">
        <v>41.3</v>
      </c>
      <c r="M56" t="s">
        <v>75</v>
      </c>
      <c r="N56" t="s">
        <v>24</v>
      </c>
      <c r="O56">
        <v>17</v>
      </c>
      <c r="P56">
        <v>8</v>
      </c>
      <c r="Q56" t="s">
        <v>58</v>
      </c>
      <c r="R56" t="s">
        <v>32</v>
      </c>
      <c r="S56">
        <v>0</v>
      </c>
    </row>
    <row r="57" spans="1:19" x14ac:dyDescent="0.45">
      <c r="A57" t="s">
        <v>120</v>
      </c>
      <c r="B57" t="s">
        <v>48</v>
      </c>
      <c r="C57" t="s">
        <v>34</v>
      </c>
      <c r="D57" t="s">
        <v>56</v>
      </c>
      <c r="E57" s="1">
        <v>45597.666666666664</v>
      </c>
      <c r="F57" s="1">
        <v>45601.416666666664</v>
      </c>
      <c r="G57">
        <v>90</v>
      </c>
      <c r="H57">
        <v>5.27</v>
      </c>
      <c r="I57">
        <v>7.77</v>
      </c>
      <c r="J57">
        <v>2.5099999999999998</v>
      </c>
      <c r="K57">
        <v>0</v>
      </c>
      <c r="L57">
        <v>56.17</v>
      </c>
      <c r="M57" t="s">
        <v>106</v>
      </c>
      <c r="N57" t="s">
        <v>24</v>
      </c>
      <c r="O57">
        <v>90</v>
      </c>
      <c r="P57">
        <v>11</v>
      </c>
      <c r="Q57" t="s">
        <v>89</v>
      </c>
      <c r="R57" t="s">
        <v>62</v>
      </c>
      <c r="S57">
        <v>0</v>
      </c>
    </row>
    <row r="58" spans="1:19" x14ac:dyDescent="0.45">
      <c r="A58" t="s">
        <v>121</v>
      </c>
      <c r="B58" t="s">
        <v>20</v>
      </c>
      <c r="C58" t="s">
        <v>93</v>
      </c>
      <c r="D58" t="s">
        <v>50</v>
      </c>
      <c r="E58" s="1">
        <v>45472</v>
      </c>
      <c r="F58" s="1">
        <v>45473</v>
      </c>
      <c r="G58">
        <v>21</v>
      </c>
      <c r="H58">
        <v>5.3</v>
      </c>
      <c r="I58">
        <v>7.63</v>
      </c>
      <c r="J58">
        <v>2.8</v>
      </c>
      <c r="K58">
        <v>0</v>
      </c>
      <c r="L58">
        <v>28.28</v>
      </c>
      <c r="M58" t="s">
        <v>75</v>
      </c>
      <c r="N58" t="s">
        <v>24</v>
      </c>
      <c r="O58">
        <v>21</v>
      </c>
      <c r="P58">
        <v>6</v>
      </c>
      <c r="Q58" t="s">
        <v>40</v>
      </c>
      <c r="R58" t="s">
        <v>32</v>
      </c>
      <c r="S58">
        <v>0</v>
      </c>
    </row>
    <row r="59" spans="1:19" x14ac:dyDescent="0.45">
      <c r="A59" t="s">
        <v>122</v>
      </c>
      <c r="B59" t="s">
        <v>37</v>
      </c>
      <c r="C59" t="s">
        <v>21</v>
      </c>
      <c r="D59" t="s">
        <v>50</v>
      </c>
      <c r="E59" s="1">
        <v>45633</v>
      </c>
      <c r="F59" s="1">
        <v>45634</v>
      </c>
      <c r="G59">
        <v>28</v>
      </c>
      <c r="H59">
        <v>5.39</v>
      </c>
      <c r="I59">
        <v>7.8</v>
      </c>
      <c r="J59">
        <v>2.5299999999999998</v>
      </c>
      <c r="K59">
        <v>0</v>
      </c>
      <c r="L59">
        <v>18</v>
      </c>
      <c r="M59" t="s">
        <v>30</v>
      </c>
      <c r="N59" t="s">
        <v>24</v>
      </c>
      <c r="O59">
        <v>28</v>
      </c>
      <c r="P59">
        <v>12</v>
      </c>
      <c r="Q59" t="s">
        <v>54</v>
      </c>
      <c r="R59" t="s">
        <v>26</v>
      </c>
      <c r="S59">
        <v>0</v>
      </c>
    </row>
    <row r="60" spans="1:19" x14ac:dyDescent="0.45">
      <c r="A60" t="s">
        <v>123</v>
      </c>
      <c r="B60" t="s">
        <v>20</v>
      </c>
      <c r="C60" t="s">
        <v>21</v>
      </c>
      <c r="D60" t="s">
        <v>78</v>
      </c>
      <c r="E60" s="1">
        <v>45319.291666666664</v>
      </c>
      <c r="F60" s="1">
        <v>45322.75</v>
      </c>
      <c r="G60">
        <v>83</v>
      </c>
      <c r="H60">
        <v>5.09</v>
      </c>
      <c r="I60">
        <v>7.78</v>
      </c>
      <c r="J60">
        <v>2.58</v>
      </c>
      <c r="K60">
        <v>0</v>
      </c>
      <c r="L60">
        <v>72.59</v>
      </c>
      <c r="M60" t="s">
        <v>30</v>
      </c>
      <c r="N60" t="s">
        <v>24</v>
      </c>
      <c r="O60">
        <v>83</v>
      </c>
      <c r="P60">
        <v>1</v>
      </c>
      <c r="Q60" t="s">
        <v>25</v>
      </c>
      <c r="R60" t="s">
        <v>26</v>
      </c>
      <c r="S60">
        <v>0</v>
      </c>
    </row>
    <row r="61" spans="1:19" x14ac:dyDescent="0.45">
      <c r="A61" t="s">
        <v>124</v>
      </c>
      <c r="B61" t="s">
        <v>48</v>
      </c>
      <c r="C61" t="s">
        <v>93</v>
      </c>
      <c r="D61" t="s">
        <v>56</v>
      </c>
      <c r="E61" s="1">
        <v>45354</v>
      </c>
      <c r="F61" s="1">
        <v>45357</v>
      </c>
      <c r="G61">
        <v>90</v>
      </c>
      <c r="H61">
        <v>5.21</v>
      </c>
      <c r="I61">
        <v>7.57</v>
      </c>
      <c r="J61">
        <v>2.54</v>
      </c>
      <c r="K61">
        <v>0</v>
      </c>
      <c r="L61">
        <v>31.22</v>
      </c>
      <c r="M61" t="s">
        <v>30</v>
      </c>
      <c r="N61" t="s">
        <v>24</v>
      </c>
      <c r="O61">
        <v>90</v>
      </c>
      <c r="P61">
        <v>3</v>
      </c>
      <c r="Q61" t="s">
        <v>45</v>
      </c>
      <c r="R61" t="s">
        <v>46</v>
      </c>
      <c r="S61">
        <v>0</v>
      </c>
    </row>
    <row r="62" spans="1:19" x14ac:dyDescent="0.45">
      <c r="A62" t="s">
        <v>125</v>
      </c>
      <c r="B62" t="s">
        <v>37</v>
      </c>
      <c r="C62" t="s">
        <v>93</v>
      </c>
      <c r="D62" t="s">
        <v>50</v>
      </c>
      <c r="E62" s="1">
        <v>45620.416666666664</v>
      </c>
      <c r="F62" s="1">
        <v>45621.5</v>
      </c>
      <c r="G62">
        <v>26</v>
      </c>
      <c r="H62">
        <v>5.0199999999999996</v>
      </c>
      <c r="I62">
        <v>7.78</v>
      </c>
      <c r="J62">
        <v>2.57</v>
      </c>
      <c r="K62">
        <v>0</v>
      </c>
      <c r="L62">
        <v>12.22</v>
      </c>
      <c r="M62" t="s">
        <v>106</v>
      </c>
      <c r="N62" t="s">
        <v>24</v>
      </c>
      <c r="O62">
        <v>26</v>
      </c>
      <c r="P62">
        <v>11</v>
      </c>
      <c r="Q62" t="s">
        <v>89</v>
      </c>
      <c r="R62" t="s">
        <v>62</v>
      </c>
      <c r="S62">
        <v>0</v>
      </c>
    </row>
    <row r="63" spans="1:19" x14ac:dyDescent="0.45">
      <c r="A63" t="s">
        <v>126</v>
      </c>
      <c r="B63" t="s">
        <v>20</v>
      </c>
      <c r="C63" t="s">
        <v>34</v>
      </c>
      <c r="D63" t="s">
        <v>29</v>
      </c>
      <c r="E63" s="1">
        <v>45299</v>
      </c>
      <c r="F63" s="1">
        <v>45302</v>
      </c>
      <c r="G63">
        <v>66</v>
      </c>
      <c r="H63">
        <v>5.28</v>
      </c>
      <c r="I63">
        <v>7.79</v>
      </c>
      <c r="J63">
        <v>2.5</v>
      </c>
      <c r="K63">
        <v>0</v>
      </c>
      <c r="L63">
        <v>7.66</v>
      </c>
      <c r="M63" t="s">
        <v>35</v>
      </c>
      <c r="N63" t="s">
        <v>24</v>
      </c>
      <c r="O63">
        <v>66</v>
      </c>
      <c r="P63">
        <v>1</v>
      </c>
      <c r="Q63" t="s">
        <v>25</v>
      </c>
      <c r="R63" t="s">
        <v>26</v>
      </c>
      <c r="S63">
        <v>0</v>
      </c>
    </row>
    <row r="64" spans="1:19" x14ac:dyDescent="0.45">
      <c r="A64" t="s">
        <v>127</v>
      </c>
      <c r="B64" t="s">
        <v>52</v>
      </c>
      <c r="C64" t="s">
        <v>82</v>
      </c>
      <c r="D64" t="s">
        <v>50</v>
      </c>
      <c r="E64" s="1">
        <v>45300.125</v>
      </c>
      <c r="F64" s="1">
        <v>45301.625</v>
      </c>
      <c r="G64">
        <v>36</v>
      </c>
      <c r="H64">
        <v>5.08</v>
      </c>
      <c r="I64">
        <v>7.79</v>
      </c>
      <c r="J64">
        <v>2.5099999999999998</v>
      </c>
      <c r="K64">
        <v>0</v>
      </c>
      <c r="L64">
        <v>68.900000000000006</v>
      </c>
      <c r="M64" t="s">
        <v>75</v>
      </c>
      <c r="N64" t="s">
        <v>24</v>
      </c>
      <c r="O64">
        <v>36</v>
      </c>
      <c r="P64">
        <v>1</v>
      </c>
      <c r="Q64" t="s">
        <v>25</v>
      </c>
      <c r="R64" t="s">
        <v>26</v>
      </c>
      <c r="S64">
        <v>0</v>
      </c>
    </row>
    <row r="65" spans="1:19" x14ac:dyDescent="0.45">
      <c r="A65" t="s">
        <v>128</v>
      </c>
      <c r="B65" t="s">
        <v>28</v>
      </c>
      <c r="C65" t="s">
        <v>42</v>
      </c>
      <c r="D65" t="s">
        <v>56</v>
      </c>
      <c r="E65" s="1">
        <v>45299.416666666664</v>
      </c>
      <c r="F65" s="1">
        <v>45302.666666666664</v>
      </c>
      <c r="G65">
        <v>78</v>
      </c>
      <c r="H65">
        <v>5.12</v>
      </c>
      <c r="I65">
        <v>7.75</v>
      </c>
      <c r="J65">
        <v>2.56</v>
      </c>
      <c r="K65">
        <v>0</v>
      </c>
      <c r="L65">
        <v>29.31</v>
      </c>
      <c r="M65" t="s">
        <v>43</v>
      </c>
      <c r="N65" t="s">
        <v>24</v>
      </c>
      <c r="O65">
        <v>78</v>
      </c>
      <c r="P65">
        <v>1</v>
      </c>
      <c r="Q65" t="s">
        <v>25</v>
      </c>
      <c r="R65" t="s">
        <v>26</v>
      </c>
      <c r="S65">
        <v>0</v>
      </c>
    </row>
    <row r="66" spans="1:19" x14ac:dyDescent="0.45">
      <c r="A66" t="s">
        <v>129</v>
      </c>
      <c r="B66" t="s">
        <v>52</v>
      </c>
      <c r="C66" t="s">
        <v>93</v>
      </c>
      <c r="D66" t="s">
        <v>78</v>
      </c>
      <c r="E66" s="1">
        <v>45386</v>
      </c>
      <c r="F66" s="1">
        <v>45387</v>
      </c>
      <c r="G66">
        <v>20</v>
      </c>
      <c r="H66">
        <v>5.52</v>
      </c>
      <c r="I66">
        <v>7.4</v>
      </c>
      <c r="J66">
        <v>3.32</v>
      </c>
      <c r="K66">
        <v>0</v>
      </c>
      <c r="L66">
        <v>70.010000000000005</v>
      </c>
      <c r="M66" t="s">
        <v>44</v>
      </c>
      <c r="N66" t="s">
        <v>24</v>
      </c>
      <c r="O66">
        <v>20</v>
      </c>
      <c r="P66">
        <v>4</v>
      </c>
      <c r="Q66" t="s">
        <v>69</v>
      </c>
      <c r="R66" t="s">
        <v>46</v>
      </c>
      <c r="S66">
        <v>0</v>
      </c>
    </row>
    <row r="67" spans="1:19" x14ac:dyDescent="0.45">
      <c r="A67" t="s">
        <v>130</v>
      </c>
      <c r="B67" t="s">
        <v>52</v>
      </c>
      <c r="C67" t="s">
        <v>53</v>
      </c>
      <c r="D67" t="s">
        <v>78</v>
      </c>
      <c r="E67" s="1">
        <v>45589</v>
      </c>
      <c r="F67" s="1">
        <v>45591</v>
      </c>
      <c r="G67">
        <v>41</v>
      </c>
      <c r="H67">
        <v>7.54</v>
      </c>
      <c r="I67">
        <v>12.3</v>
      </c>
      <c r="J67">
        <v>2.65</v>
      </c>
      <c r="K67">
        <v>15</v>
      </c>
      <c r="L67">
        <v>69.3</v>
      </c>
      <c r="M67" t="s">
        <v>57</v>
      </c>
      <c r="N67" t="s">
        <v>39</v>
      </c>
      <c r="O67">
        <v>41</v>
      </c>
      <c r="P67">
        <v>10</v>
      </c>
      <c r="Q67" t="s">
        <v>61</v>
      </c>
      <c r="R67" t="s">
        <v>62</v>
      </c>
      <c r="S67">
        <v>69.3</v>
      </c>
    </row>
    <row r="68" spans="1:19" x14ac:dyDescent="0.45">
      <c r="A68" t="s">
        <v>131</v>
      </c>
      <c r="B68" t="s">
        <v>37</v>
      </c>
      <c r="C68" t="s">
        <v>38</v>
      </c>
      <c r="D68" t="s">
        <v>78</v>
      </c>
      <c r="E68" s="1">
        <v>45551</v>
      </c>
      <c r="F68" s="1">
        <v>45554</v>
      </c>
      <c r="G68">
        <v>64</v>
      </c>
      <c r="H68">
        <v>5.68</v>
      </c>
      <c r="I68">
        <v>7.7</v>
      </c>
      <c r="J68">
        <v>2.74</v>
      </c>
      <c r="K68">
        <v>0</v>
      </c>
      <c r="L68">
        <v>29.46</v>
      </c>
      <c r="M68" t="s">
        <v>106</v>
      </c>
      <c r="N68" t="s">
        <v>24</v>
      </c>
      <c r="O68">
        <v>64</v>
      </c>
      <c r="P68">
        <v>9</v>
      </c>
      <c r="Q68" t="s">
        <v>76</v>
      </c>
      <c r="R68" t="s">
        <v>32</v>
      </c>
      <c r="S68">
        <v>0</v>
      </c>
    </row>
    <row r="69" spans="1:19" x14ac:dyDescent="0.45">
      <c r="A69" t="s">
        <v>132</v>
      </c>
      <c r="B69" t="s">
        <v>52</v>
      </c>
      <c r="C69" t="s">
        <v>42</v>
      </c>
      <c r="D69" t="s">
        <v>22</v>
      </c>
      <c r="E69" s="1">
        <v>45349</v>
      </c>
      <c r="F69" s="1">
        <v>45352</v>
      </c>
      <c r="G69">
        <v>66</v>
      </c>
      <c r="H69">
        <v>5.25</v>
      </c>
      <c r="I69">
        <v>7.79</v>
      </c>
      <c r="J69">
        <v>2.58</v>
      </c>
      <c r="K69">
        <v>0</v>
      </c>
      <c r="L69">
        <v>8.3000000000000007</v>
      </c>
      <c r="M69" t="s">
        <v>79</v>
      </c>
      <c r="N69" t="s">
        <v>24</v>
      </c>
      <c r="O69">
        <v>66</v>
      </c>
      <c r="P69">
        <v>2</v>
      </c>
      <c r="Q69" t="s">
        <v>65</v>
      </c>
      <c r="R69" t="s">
        <v>26</v>
      </c>
      <c r="S69">
        <v>0</v>
      </c>
    </row>
    <row r="70" spans="1:19" x14ac:dyDescent="0.45">
      <c r="A70" t="s">
        <v>133</v>
      </c>
      <c r="B70" t="s">
        <v>37</v>
      </c>
      <c r="C70" t="s">
        <v>93</v>
      </c>
      <c r="D70" t="s">
        <v>78</v>
      </c>
      <c r="E70" s="1">
        <v>45639.833333333336</v>
      </c>
      <c r="F70" s="1">
        <v>45641</v>
      </c>
      <c r="G70">
        <v>28</v>
      </c>
      <c r="H70">
        <v>5.01</v>
      </c>
      <c r="I70">
        <v>7.75</v>
      </c>
      <c r="J70">
        <v>2.58</v>
      </c>
      <c r="K70">
        <v>0</v>
      </c>
      <c r="L70">
        <v>12.9</v>
      </c>
      <c r="M70" t="s">
        <v>75</v>
      </c>
      <c r="N70" t="s">
        <v>24</v>
      </c>
      <c r="O70">
        <v>28</v>
      </c>
      <c r="P70">
        <v>12</v>
      </c>
      <c r="Q70" t="s">
        <v>54</v>
      </c>
      <c r="R70" t="s">
        <v>26</v>
      </c>
      <c r="S70">
        <v>0</v>
      </c>
    </row>
    <row r="71" spans="1:19" x14ac:dyDescent="0.45">
      <c r="A71" t="s">
        <v>134</v>
      </c>
      <c r="B71" t="s">
        <v>48</v>
      </c>
      <c r="C71" t="s">
        <v>21</v>
      </c>
      <c r="D71" t="s">
        <v>50</v>
      </c>
      <c r="E71" s="1">
        <v>45561.166666666664</v>
      </c>
      <c r="F71" s="1">
        <v>45562.583333333336</v>
      </c>
      <c r="G71">
        <v>34</v>
      </c>
      <c r="H71">
        <v>5.35</v>
      </c>
      <c r="I71">
        <v>7.66</v>
      </c>
      <c r="J71">
        <v>2.6</v>
      </c>
      <c r="K71">
        <v>0</v>
      </c>
      <c r="L71">
        <v>19.77</v>
      </c>
      <c r="M71" t="s">
        <v>44</v>
      </c>
      <c r="N71" t="s">
        <v>24</v>
      </c>
      <c r="O71">
        <v>34</v>
      </c>
      <c r="P71">
        <v>9</v>
      </c>
      <c r="Q71" t="s">
        <v>76</v>
      </c>
      <c r="R71" t="s">
        <v>32</v>
      </c>
      <c r="S71">
        <v>0</v>
      </c>
    </row>
    <row r="72" spans="1:19" x14ac:dyDescent="0.45">
      <c r="A72" t="s">
        <v>135</v>
      </c>
      <c r="B72" t="s">
        <v>52</v>
      </c>
      <c r="C72" t="s">
        <v>53</v>
      </c>
      <c r="D72" t="s">
        <v>56</v>
      </c>
      <c r="E72" s="1">
        <v>45497</v>
      </c>
      <c r="F72" s="1">
        <v>45500</v>
      </c>
      <c r="G72">
        <v>75</v>
      </c>
      <c r="H72">
        <v>4.82</v>
      </c>
      <c r="I72">
        <v>7.55</v>
      </c>
      <c r="J72">
        <v>2.5499999999999998</v>
      </c>
      <c r="K72">
        <v>0</v>
      </c>
      <c r="L72">
        <v>49.9</v>
      </c>
      <c r="M72" t="s">
        <v>35</v>
      </c>
      <c r="N72" t="s">
        <v>24</v>
      </c>
      <c r="O72">
        <v>75</v>
      </c>
      <c r="P72">
        <v>7</v>
      </c>
      <c r="Q72" t="s">
        <v>31</v>
      </c>
      <c r="R72" t="s">
        <v>32</v>
      </c>
      <c r="S72">
        <v>0</v>
      </c>
    </row>
    <row r="73" spans="1:19" x14ac:dyDescent="0.45">
      <c r="A73" t="s">
        <v>136</v>
      </c>
      <c r="B73" t="s">
        <v>37</v>
      </c>
      <c r="C73" t="s">
        <v>38</v>
      </c>
      <c r="D73" t="s">
        <v>56</v>
      </c>
      <c r="E73" s="1">
        <v>45308</v>
      </c>
      <c r="F73" s="1">
        <v>45310</v>
      </c>
      <c r="G73">
        <v>53</v>
      </c>
      <c r="H73">
        <v>5.22</v>
      </c>
      <c r="I73">
        <v>7.72</v>
      </c>
      <c r="J73">
        <v>2.5099999999999998</v>
      </c>
      <c r="K73">
        <v>0</v>
      </c>
      <c r="L73">
        <v>33.090000000000003</v>
      </c>
      <c r="M73" t="s">
        <v>30</v>
      </c>
      <c r="N73" t="s">
        <v>24</v>
      </c>
      <c r="O73">
        <v>53</v>
      </c>
      <c r="P73">
        <v>1</v>
      </c>
      <c r="Q73" t="s">
        <v>25</v>
      </c>
      <c r="R73" t="s">
        <v>26</v>
      </c>
      <c r="S73">
        <v>0</v>
      </c>
    </row>
    <row r="74" spans="1:19" x14ac:dyDescent="0.45">
      <c r="A74" t="s">
        <v>137</v>
      </c>
      <c r="B74" t="s">
        <v>28</v>
      </c>
      <c r="C74" t="s">
        <v>42</v>
      </c>
      <c r="D74" t="s">
        <v>50</v>
      </c>
      <c r="E74" s="1">
        <v>45464</v>
      </c>
      <c r="F74" s="1">
        <v>45465</v>
      </c>
      <c r="G74">
        <v>20</v>
      </c>
      <c r="H74">
        <v>5.19</v>
      </c>
      <c r="I74">
        <v>7.5</v>
      </c>
      <c r="J74">
        <v>2.91</v>
      </c>
      <c r="K74">
        <v>0</v>
      </c>
      <c r="L74">
        <v>60.09</v>
      </c>
      <c r="M74" t="s">
        <v>44</v>
      </c>
      <c r="N74" t="s">
        <v>24</v>
      </c>
      <c r="O74">
        <v>20</v>
      </c>
      <c r="P74">
        <v>6</v>
      </c>
      <c r="Q74" t="s">
        <v>40</v>
      </c>
      <c r="R74" t="s">
        <v>32</v>
      </c>
      <c r="S74">
        <v>0</v>
      </c>
    </row>
    <row r="75" spans="1:19" x14ac:dyDescent="0.45">
      <c r="A75" t="s">
        <v>138</v>
      </c>
      <c r="B75" t="s">
        <v>37</v>
      </c>
      <c r="C75" t="s">
        <v>93</v>
      </c>
      <c r="D75" t="s">
        <v>50</v>
      </c>
      <c r="E75" s="1">
        <v>45652.083333333336</v>
      </c>
      <c r="F75" s="1">
        <v>45653.166666666664</v>
      </c>
      <c r="G75">
        <v>26</v>
      </c>
      <c r="H75">
        <v>5.53</v>
      </c>
      <c r="I75">
        <v>7.77</v>
      </c>
      <c r="J75">
        <v>2.66</v>
      </c>
      <c r="K75">
        <v>0</v>
      </c>
      <c r="L75">
        <v>58.43</v>
      </c>
      <c r="M75" t="s">
        <v>106</v>
      </c>
      <c r="N75" t="s">
        <v>24</v>
      </c>
      <c r="O75">
        <v>26</v>
      </c>
      <c r="P75">
        <v>12</v>
      </c>
      <c r="Q75" t="s">
        <v>54</v>
      </c>
      <c r="R75" t="s">
        <v>26</v>
      </c>
      <c r="S75">
        <v>0</v>
      </c>
    </row>
    <row r="76" spans="1:19" x14ac:dyDescent="0.45">
      <c r="A76" t="s">
        <v>139</v>
      </c>
      <c r="B76" t="s">
        <v>48</v>
      </c>
      <c r="C76" t="s">
        <v>82</v>
      </c>
      <c r="D76" t="s">
        <v>50</v>
      </c>
      <c r="E76" s="1">
        <v>45368</v>
      </c>
      <c r="F76" s="1">
        <v>45371</v>
      </c>
      <c r="G76">
        <v>74</v>
      </c>
      <c r="H76">
        <v>4.8600000000000003</v>
      </c>
      <c r="I76">
        <v>7.75</v>
      </c>
      <c r="J76">
        <v>2.5299999999999998</v>
      </c>
      <c r="K76">
        <v>0</v>
      </c>
      <c r="L76">
        <v>41.88</v>
      </c>
      <c r="M76" t="s">
        <v>57</v>
      </c>
      <c r="N76" t="s">
        <v>24</v>
      </c>
      <c r="O76">
        <v>74</v>
      </c>
      <c r="P76">
        <v>3</v>
      </c>
      <c r="Q76" t="s">
        <v>45</v>
      </c>
      <c r="R76" t="s">
        <v>46</v>
      </c>
      <c r="S76">
        <v>0</v>
      </c>
    </row>
    <row r="77" spans="1:19" x14ac:dyDescent="0.45">
      <c r="A77" t="s">
        <v>140</v>
      </c>
      <c r="B77" t="s">
        <v>28</v>
      </c>
      <c r="C77" t="s">
        <v>21</v>
      </c>
      <c r="D77" t="s">
        <v>22</v>
      </c>
      <c r="E77" s="1">
        <v>45292.541666666664</v>
      </c>
      <c r="F77" s="1">
        <v>45294.875</v>
      </c>
      <c r="G77">
        <v>56</v>
      </c>
      <c r="H77">
        <v>5.17</v>
      </c>
      <c r="I77">
        <v>7.7</v>
      </c>
      <c r="J77">
        <v>2.6</v>
      </c>
      <c r="K77">
        <v>0</v>
      </c>
      <c r="L77">
        <v>75.099999999999994</v>
      </c>
      <c r="M77" t="s">
        <v>57</v>
      </c>
      <c r="N77" t="s">
        <v>24</v>
      </c>
      <c r="O77">
        <v>56</v>
      </c>
      <c r="P77">
        <v>1</v>
      </c>
      <c r="Q77" t="s">
        <v>25</v>
      </c>
      <c r="R77" t="s">
        <v>26</v>
      </c>
      <c r="S77">
        <v>0</v>
      </c>
    </row>
    <row r="78" spans="1:19" x14ac:dyDescent="0.45">
      <c r="A78" t="s">
        <v>141</v>
      </c>
      <c r="B78" t="s">
        <v>37</v>
      </c>
      <c r="C78" t="s">
        <v>93</v>
      </c>
      <c r="D78" t="s">
        <v>56</v>
      </c>
      <c r="E78" s="1">
        <v>45496.791666666664</v>
      </c>
      <c r="F78" s="1">
        <v>45499.125</v>
      </c>
      <c r="G78">
        <v>56</v>
      </c>
      <c r="H78">
        <v>4.7</v>
      </c>
      <c r="I78">
        <v>7.44</v>
      </c>
      <c r="J78">
        <v>2.54</v>
      </c>
      <c r="K78">
        <v>0</v>
      </c>
      <c r="L78">
        <v>54.08</v>
      </c>
      <c r="M78" t="s">
        <v>79</v>
      </c>
      <c r="N78" t="s">
        <v>24</v>
      </c>
      <c r="O78">
        <v>56</v>
      </c>
      <c r="P78">
        <v>7</v>
      </c>
      <c r="Q78" t="s">
        <v>31</v>
      </c>
      <c r="R78" t="s">
        <v>32</v>
      </c>
      <c r="S78">
        <v>0</v>
      </c>
    </row>
    <row r="79" spans="1:19" x14ac:dyDescent="0.45">
      <c r="A79" t="s">
        <v>142</v>
      </c>
      <c r="B79" t="s">
        <v>28</v>
      </c>
      <c r="C79" t="s">
        <v>38</v>
      </c>
      <c r="D79" t="s">
        <v>22</v>
      </c>
      <c r="E79" s="1">
        <v>45426.416666666664</v>
      </c>
      <c r="F79" s="1">
        <v>45427.416666666664</v>
      </c>
      <c r="G79">
        <v>24</v>
      </c>
      <c r="H79">
        <v>5.41</v>
      </c>
      <c r="I79">
        <v>7.4</v>
      </c>
      <c r="J79">
        <v>2.56</v>
      </c>
      <c r="K79">
        <v>0</v>
      </c>
      <c r="L79">
        <v>64.239999999999995</v>
      </c>
      <c r="M79" t="s">
        <v>35</v>
      </c>
      <c r="N79" t="s">
        <v>24</v>
      </c>
      <c r="O79">
        <v>24</v>
      </c>
      <c r="P79">
        <v>5</v>
      </c>
      <c r="Q79" t="s">
        <v>67</v>
      </c>
      <c r="R79" t="s">
        <v>46</v>
      </c>
      <c r="S79">
        <v>0</v>
      </c>
    </row>
    <row r="80" spans="1:19" x14ac:dyDescent="0.45">
      <c r="A80" t="s">
        <v>143</v>
      </c>
      <c r="B80" t="s">
        <v>52</v>
      </c>
      <c r="C80" t="s">
        <v>82</v>
      </c>
      <c r="D80" t="s">
        <v>50</v>
      </c>
      <c r="E80" s="1">
        <v>45566</v>
      </c>
      <c r="F80" s="1">
        <v>45569</v>
      </c>
      <c r="G80">
        <v>53</v>
      </c>
      <c r="H80">
        <v>5.27</v>
      </c>
      <c r="I80">
        <v>7.8</v>
      </c>
      <c r="J80">
        <v>2.59</v>
      </c>
      <c r="K80">
        <v>0</v>
      </c>
      <c r="L80">
        <v>73.95</v>
      </c>
      <c r="M80" t="s">
        <v>35</v>
      </c>
      <c r="N80" t="s">
        <v>24</v>
      </c>
      <c r="O80">
        <v>53</v>
      </c>
      <c r="P80">
        <v>10</v>
      </c>
      <c r="Q80" t="s">
        <v>61</v>
      </c>
      <c r="R80" t="s">
        <v>62</v>
      </c>
      <c r="S80">
        <v>0</v>
      </c>
    </row>
    <row r="81" spans="1:19" x14ac:dyDescent="0.45">
      <c r="A81" t="s">
        <v>144</v>
      </c>
      <c r="B81" t="s">
        <v>48</v>
      </c>
      <c r="C81" t="s">
        <v>38</v>
      </c>
      <c r="D81" t="s">
        <v>56</v>
      </c>
      <c r="E81" s="1">
        <v>45627</v>
      </c>
      <c r="F81" s="1">
        <v>45629</v>
      </c>
      <c r="G81">
        <v>61</v>
      </c>
      <c r="H81">
        <v>4.5999999999999996</v>
      </c>
      <c r="I81">
        <v>7.49</v>
      </c>
      <c r="J81">
        <v>2.57</v>
      </c>
      <c r="K81">
        <v>0</v>
      </c>
      <c r="L81">
        <v>23.17</v>
      </c>
      <c r="M81" t="s">
        <v>35</v>
      </c>
      <c r="N81" t="s">
        <v>24</v>
      </c>
      <c r="O81">
        <v>61</v>
      </c>
      <c r="P81">
        <v>12</v>
      </c>
      <c r="Q81" t="s">
        <v>54</v>
      </c>
      <c r="R81" t="s">
        <v>26</v>
      </c>
      <c r="S81">
        <v>0</v>
      </c>
    </row>
    <row r="82" spans="1:19" x14ac:dyDescent="0.45">
      <c r="A82" t="s">
        <v>145</v>
      </c>
      <c r="B82" t="s">
        <v>52</v>
      </c>
      <c r="C82" t="s">
        <v>42</v>
      </c>
      <c r="D82" t="s">
        <v>22</v>
      </c>
      <c r="E82" s="1">
        <v>45503.083333333336</v>
      </c>
      <c r="F82" s="1">
        <v>45506.083333333336</v>
      </c>
      <c r="G82">
        <v>72</v>
      </c>
      <c r="H82">
        <v>4.78</v>
      </c>
      <c r="I82">
        <v>7.64</v>
      </c>
      <c r="J82">
        <v>2.5299999999999998</v>
      </c>
      <c r="K82">
        <v>0</v>
      </c>
      <c r="L82">
        <v>37.68</v>
      </c>
      <c r="M82" t="s">
        <v>30</v>
      </c>
      <c r="N82" t="s">
        <v>24</v>
      </c>
      <c r="O82">
        <v>72</v>
      </c>
      <c r="P82">
        <v>7</v>
      </c>
      <c r="Q82" t="s">
        <v>31</v>
      </c>
      <c r="R82" t="s">
        <v>32</v>
      </c>
      <c r="S82">
        <v>0</v>
      </c>
    </row>
    <row r="83" spans="1:19" x14ac:dyDescent="0.45">
      <c r="A83" t="s">
        <v>146</v>
      </c>
      <c r="B83" t="s">
        <v>48</v>
      </c>
      <c r="C83" t="s">
        <v>93</v>
      </c>
      <c r="D83" t="s">
        <v>43</v>
      </c>
      <c r="E83" s="1">
        <v>45524</v>
      </c>
      <c r="F83" s="1">
        <v>45527</v>
      </c>
      <c r="G83">
        <v>72</v>
      </c>
      <c r="H83">
        <v>5.13</v>
      </c>
      <c r="I83">
        <v>7.78</v>
      </c>
      <c r="J83">
        <v>2.56</v>
      </c>
      <c r="K83">
        <v>0</v>
      </c>
      <c r="L83">
        <v>15.44</v>
      </c>
      <c r="M83" t="s">
        <v>75</v>
      </c>
      <c r="N83" t="s">
        <v>24</v>
      </c>
      <c r="O83">
        <v>72</v>
      </c>
      <c r="P83">
        <v>8</v>
      </c>
      <c r="Q83" t="s">
        <v>58</v>
      </c>
      <c r="R83" t="s">
        <v>32</v>
      </c>
      <c r="S83">
        <v>0</v>
      </c>
    </row>
    <row r="84" spans="1:19" x14ac:dyDescent="0.45">
      <c r="A84" t="s">
        <v>147</v>
      </c>
      <c r="B84" t="s">
        <v>20</v>
      </c>
      <c r="C84" t="s">
        <v>73</v>
      </c>
      <c r="D84" t="s">
        <v>56</v>
      </c>
      <c r="E84" s="1">
        <v>45464</v>
      </c>
      <c r="F84" s="1">
        <v>45467</v>
      </c>
      <c r="G84">
        <v>64</v>
      </c>
      <c r="H84">
        <v>5.04</v>
      </c>
      <c r="I84">
        <v>7.72</v>
      </c>
      <c r="J84">
        <v>2.54</v>
      </c>
      <c r="K84">
        <v>0</v>
      </c>
      <c r="L84">
        <v>42.94</v>
      </c>
      <c r="M84" t="s">
        <v>44</v>
      </c>
      <c r="N84" t="s">
        <v>24</v>
      </c>
      <c r="O84">
        <v>64</v>
      </c>
      <c r="P84">
        <v>6</v>
      </c>
      <c r="Q84" t="s">
        <v>40</v>
      </c>
      <c r="R84" t="s">
        <v>32</v>
      </c>
      <c r="S84">
        <v>0</v>
      </c>
    </row>
    <row r="85" spans="1:19" x14ac:dyDescent="0.45">
      <c r="A85" t="s">
        <v>148</v>
      </c>
      <c r="B85" t="s">
        <v>37</v>
      </c>
      <c r="C85" t="s">
        <v>38</v>
      </c>
      <c r="D85" t="s">
        <v>78</v>
      </c>
      <c r="E85" s="1">
        <v>45344.208333333336</v>
      </c>
      <c r="F85" s="1">
        <v>45345.625</v>
      </c>
      <c r="G85">
        <v>34</v>
      </c>
      <c r="H85">
        <v>4.74</v>
      </c>
      <c r="I85">
        <v>7.3</v>
      </c>
      <c r="J85">
        <v>2.5499999999999998</v>
      </c>
      <c r="K85">
        <v>0</v>
      </c>
      <c r="L85">
        <v>15.66</v>
      </c>
      <c r="M85" t="s">
        <v>23</v>
      </c>
      <c r="N85" t="s">
        <v>24</v>
      </c>
      <c r="O85">
        <v>34</v>
      </c>
      <c r="P85">
        <v>2</v>
      </c>
      <c r="Q85" t="s">
        <v>65</v>
      </c>
      <c r="R85" t="s">
        <v>26</v>
      </c>
      <c r="S85">
        <v>0</v>
      </c>
    </row>
    <row r="86" spans="1:19" x14ac:dyDescent="0.45">
      <c r="A86" t="s">
        <v>149</v>
      </c>
      <c r="B86" t="s">
        <v>48</v>
      </c>
      <c r="C86" t="s">
        <v>93</v>
      </c>
      <c r="D86" t="s">
        <v>50</v>
      </c>
      <c r="E86" s="1">
        <v>45543.541666666664</v>
      </c>
      <c r="F86" s="1">
        <v>45547.208333333336</v>
      </c>
      <c r="G86">
        <v>88</v>
      </c>
      <c r="H86">
        <v>5.16</v>
      </c>
      <c r="I86">
        <v>7.7</v>
      </c>
      <c r="J86">
        <v>2.56</v>
      </c>
      <c r="K86">
        <v>0</v>
      </c>
      <c r="L86">
        <v>66.28</v>
      </c>
      <c r="M86" t="s">
        <v>43</v>
      </c>
      <c r="N86" t="s">
        <v>24</v>
      </c>
      <c r="O86">
        <v>88</v>
      </c>
      <c r="P86">
        <v>9</v>
      </c>
      <c r="Q86" t="s">
        <v>76</v>
      </c>
      <c r="R86" t="s">
        <v>32</v>
      </c>
      <c r="S86">
        <v>0</v>
      </c>
    </row>
    <row r="87" spans="1:19" x14ac:dyDescent="0.45">
      <c r="A87" t="s">
        <v>150</v>
      </c>
      <c r="B87" t="s">
        <v>48</v>
      </c>
      <c r="C87" t="s">
        <v>42</v>
      </c>
      <c r="D87" t="s">
        <v>50</v>
      </c>
      <c r="E87" s="1">
        <v>45342.291666666664</v>
      </c>
      <c r="F87" s="1">
        <v>45344.958333333336</v>
      </c>
      <c r="G87">
        <v>64</v>
      </c>
      <c r="H87">
        <v>5.28</v>
      </c>
      <c r="I87">
        <v>7.64</v>
      </c>
      <c r="J87">
        <v>2.5</v>
      </c>
      <c r="K87">
        <v>0</v>
      </c>
      <c r="L87">
        <v>70.239999999999995</v>
      </c>
      <c r="M87" t="s">
        <v>35</v>
      </c>
      <c r="N87" t="s">
        <v>24</v>
      </c>
      <c r="O87">
        <v>64</v>
      </c>
      <c r="P87">
        <v>2</v>
      </c>
      <c r="Q87" t="s">
        <v>65</v>
      </c>
      <c r="R87" t="s">
        <v>26</v>
      </c>
      <c r="S87">
        <v>0</v>
      </c>
    </row>
    <row r="88" spans="1:19" x14ac:dyDescent="0.45">
      <c r="A88" t="s">
        <v>151</v>
      </c>
      <c r="B88" t="s">
        <v>28</v>
      </c>
      <c r="C88" t="s">
        <v>42</v>
      </c>
      <c r="D88" t="s">
        <v>78</v>
      </c>
      <c r="E88" s="1">
        <v>45555.625</v>
      </c>
      <c r="F88" s="1">
        <v>45557</v>
      </c>
      <c r="G88">
        <v>33</v>
      </c>
      <c r="H88">
        <v>5.19</v>
      </c>
      <c r="I88">
        <v>8.57</v>
      </c>
      <c r="J88">
        <v>2.83</v>
      </c>
      <c r="K88">
        <v>1</v>
      </c>
      <c r="L88">
        <v>25.04</v>
      </c>
      <c r="M88" t="s">
        <v>43</v>
      </c>
      <c r="N88" t="s">
        <v>109</v>
      </c>
      <c r="O88">
        <v>33</v>
      </c>
      <c r="P88">
        <v>9</v>
      </c>
      <c r="Q88" t="s">
        <v>76</v>
      </c>
      <c r="R88" t="s">
        <v>32</v>
      </c>
      <c r="S88">
        <v>0</v>
      </c>
    </row>
    <row r="89" spans="1:19" x14ac:dyDescent="0.45">
      <c r="A89" t="s">
        <v>152</v>
      </c>
      <c r="B89" t="s">
        <v>20</v>
      </c>
      <c r="C89" t="s">
        <v>38</v>
      </c>
      <c r="D89" t="s">
        <v>29</v>
      </c>
      <c r="E89" s="1">
        <v>45323</v>
      </c>
      <c r="F89" s="1">
        <v>45326</v>
      </c>
      <c r="G89">
        <v>60</v>
      </c>
      <c r="H89">
        <v>6.64</v>
      </c>
      <c r="I89">
        <v>12.4</v>
      </c>
      <c r="J89">
        <v>2.57</v>
      </c>
      <c r="K89">
        <v>13</v>
      </c>
      <c r="L89">
        <v>64.430000000000007</v>
      </c>
      <c r="M89" t="s">
        <v>35</v>
      </c>
      <c r="N89" t="s">
        <v>39</v>
      </c>
      <c r="O89">
        <v>60</v>
      </c>
      <c r="P89">
        <v>2</v>
      </c>
      <c r="Q89" t="s">
        <v>65</v>
      </c>
      <c r="R89" t="s">
        <v>26</v>
      </c>
      <c r="S89">
        <v>64.430000000000007</v>
      </c>
    </row>
    <row r="90" spans="1:19" x14ac:dyDescent="0.45">
      <c r="A90" t="s">
        <v>153</v>
      </c>
      <c r="B90" t="s">
        <v>37</v>
      </c>
      <c r="C90" t="s">
        <v>82</v>
      </c>
      <c r="D90" t="s">
        <v>50</v>
      </c>
      <c r="E90" s="1">
        <v>45574</v>
      </c>
      <c r="F90" s="1">
        <v>45577</v>
      </c>
      <c r="G90">
        <v>60</v>
      </c>
      <c r="H90">
        <v>5.45</v>
      </c>
      <c r="I90">
        <v>7.76</v>
      </c>
      <c r="J90">
        <v>2.63</v>
      </c>
      <c r="K90">
        <v>0</v>
      </c>
      <c r="L90">
        <v>39.15</v>
      </c>
      <c r="M90" t="s">
        <v>106</v>
      </c>
      <c r="N90" t="s">
        <v>24</v>
      </c>
      <c r="O90">
        <v>60</v>
      </c>
      <c r="P90">
        <v>10</v>
      </c>
      <c r="Q90" t="s">
        <v>61</v>
      </c>
      <c r="R90" t="s">
        <v>62</v>
      </c>
      <c r="S90">
        <v>0</v>
      </c>
    </row>
    <row r="91" spans="1:19" x14ac:dyDescent="0.45">
      <c r="A91" t="s">
        <v>154</v>
      </c>
      <c r="B91" t="s">
        <v>48</v>
      </c>
      <c r="C91" t="s">
        <v>73</v>
      </c>
      <c r="D91" t="s">
        <v>50</v>
      </c>
      <c r="E91" s="1">
        <v>45542.833333333336</v>
      </c>
      <c r="F91" s="1">
        <v>45545.541666666664</v>
      </c>
      <c r="G91">
        <v>65</v>
      </c>
      <c r="H91">
        <v>5.17</v>
      </c>
      <c r="I91">
        <v>7.79</v>
      </c>
      <c r="J91">
        <v>2.59</v>
      </c>
      <c r="K91">
        <v>0</v>
      </c>
      <c r="L91">
        <v>28.77</v>
      </c>
      <c r="M91" t="s">
        <v>44</v>
      </c>
      <c r="N91" t="s">
        <v>24</v>
      </c>
      <c r="O91">
        <v>65</v>
      </c>
      <c r="P91">
        <v>9</v>
      </c>
      <c r="Q91" t="s">
        <v>76</v>
      </c>
      <c r="R91" t="s">
        <v>32</v>
      </c>
      <c r="S91">
        <v>0</v>
      </c>
    </row>
    <row r="92" spans="1:19" x14ac:dyDescent="0.45">
      <c r="A92" t="s">
        <v>155</v>
      </c>
      <c r="B92" t="s">
        <v>48</v>
      </c>
      <c r="C92" t="s">
        <v>21</v>
      </c>
      <c r="D92" t="s">
        <v>22</v>
      </c>
      <c r="E92" s="1">
        <v>45632.416666666664</v>
      </c>
      <c r="F92" s="1">
        <v>45634.75</v>
      </c>
      <c r="G92">
        <v>56</v>
      </c>
      <c r="H92">
        <v>5.45</v>
      </c>
      <c r="I92">
        <v>7.77</v>
      </c>
      <c r="J92">
        <v>2.56</v>
      </c>
      <c r="K92">
        <v>0</v>
      </c>
      <c r="L92">
        <v>16.100000000000001</v>
      </c>
      <c r="M92" t="s">
        <v>30</v>
      </c>
      <c r="N92" t="s">
        <v>24</v>
      </c>
      <c r="O92">
        <v>56</v>
      </c>
      <c r="P92">
        <v>12</v>
      </c>
      <c r="Q92" t="s">
        <v>54</v>
      </c>
      <c r="R92" t="s">
        <v>26</v>
      </c>
      <c r="S92">
        <v>0</v>
      </c>
    </row>
    <row r="93" spans="1:19" x14ac:dyDescent="0.45">
      <c r="A93" t="s">
        <v>156</v>
      </c>
      <c r="B93" t="s">
        <v>48</v>
      </c>
      <c r="C93" t="s">
        <v>38</v>
      </c>
      <c r="D93" t="s">
        <v>56</v>
      </c>
      <c r="E93" s="1">
        <v>45587</v>
      </c>
      <c r="F93" s="1">
        <v>45589</v>
      </c>
      <c r="G93">
        <v>45</v>
      </c>
      <c r="H93">
        <v>4.9800000000000004</v>
      </c>
      <c r="I93">
        <v>7.56</v>
      </c>
      <c r="J93">
        <v>2.57</v>
      </c>
      <c r="K93">
        <v>0</v>
      </c>
      <c r="L93">
        <v>10.94</v>
      </c>
      <c r="M93" t="s">
        <v>75</v>
      </c>
      <c r="N93" t="s">
        <v>24</v>
      </c>
      <c r="O93">
        <v>45</v>
      </c>
      <c r="P93">
        <v>10</v>
      </c>
      <c r="Q93" t="s">
        <v>61</v>
      </c>
      <c r="R93" t="s">
        <v>62</v>
      </c>
      <c r="S93">
        <v>0</v>
      </c>
    </row>
    <row r="94" spans="1:19" x14ac:dyDescent="0.45">
      <c r="A94" t="s">
        <v>157</v>
      </c>
      <c r="B94" t="s">
        <v>37</v>
      </c>
      <c r="C94" t="s">
        <v>93</v>
      </c>
      <c r="D94" t="s">
        <v>29</v>
      </c>
      <c r="E94" s="1">
        <v>45587.458333333336</v>
      </c>
      <c r="F94" s="1">
        <v>45587.958333333336</v>
      </c>
      <c r="G94">
        <v>12</v>
      </c>
      <c r="H94">
        <v>4.8099999999999996</v>
      </c>
      <c r="I94">
        <v>7.8</v>
      </c>
      <c r="J94">
        <v>2.5499999999999998</v>
      </c>
      <c r="K94">
        <v>0</v>
      </c>
      <c r="L94">
        <v>69.430000000000007</v>
      </c>
      <c r="M94" t="s">
        <v>75</v>
      </c>
      <c r="N94" t="s">
        <v>24</v>
      </c>
      <c r="O94">
        <v>12</v>
      </c>
      <c r="P94">
        <v>10</v>
      </c>
      <c r="Q94" t="s">
        <v>61</v>
      </c>
      <c r="R94" t="s">
        <v>62</v>
      </c>
      <c r="S94">
        <v>0</v>
      </c>
    </row>
    <row r="95" spans="1:19" x14ac:dyDescent="0.45">
      <c r="A95" t="s">
        <v>158</v>
      </c>
      <c r="B95" t="s">
        <v>20</v>
      </c>
      <c r="C95" t="s">
        <v>21</v>
      </c>
      <c r="D95" t="s">
        <v>56</v>
      </c>
      <c r="E95" s="1">
        <v>45385.458333333336</v>
      </c>
      <c r="F95" s="1">
        <v>45388.166666666664</v>
      </c>
      <c r="G95">
        <v>65</v>
      </c>
      <c r="H95">
        <v>4.93</v>
      </c>
      <c r="I95">
        <v>7.77</v>
      </c>
      <c r="J95">
        <v>2.57</v>
      </c>
      <c r="K95">
        <v>0</v>
      </c>
      <c r="L95">
        <v>57.17</v>
      </c>
      <c r="M95" t="s">
        <v>106</v>
      </c>
      <c r="N95" t="s">
        <v>24</v>
      </c>
      <c r="O95">
        <v>65</v>
      </c>
      <c r="P95">
        <v>4</v>
      </c>
      <c r="Q95" t="s">
        <v>69</v>
      </c>
      <c r="R95" t="s">
        <v>46</v>
      </c>
      <c r="S95">
        <v>0</v>
      </c>
    </row>
    <row r="96" spans="1:19" x14ac:dyDescent="0.45">
      <c r="A96" t="s">
        <v>159</v>
      </c>
      <c r="B96" t="s">
        <v>48</v>
      </c>
      <c r="C96" t="s">
        <v>34</v>
      </c>
      <c r="D96" t="s">
        <v>22</v>
      </c>
      <c r="E96" s="1">
        <v>45364.375</v>
      </c>
      <c r="F96" s="1">
        <v>45367.5</v>
      </c>
      <c r="G96">
        <v>75</v>
      </c>
      <c r="H96">
        <v>5.18</v>
      </c>
      <c r="I96">
        <v>7.76</v>
      </c>
      <c r="J96">
        <v>2.5099999999999998</v>
      </c>
      <c r="K96">
        <v>0</v>
      </c>
      <c r="L96">
        <v>10.78</v>
      </c>
      <c r="M96" t="s">
        <v>35</v>
      </c>
      <c r="N96" t="s">
        <v>24</v>
      </c>
      <c r="O96">
        <v>75</v>
      </c>
      <c r="P96">
        <v>3</v>
      </c>
      <c r="Q96" t="s">
        <v>45</v>
      </c>
      <c r="R96" t="s">
        <v>46</v>
      </c>
      <c r="S96">
        <v>0</v>
      </c>
    </row>
    <row r="97" spans="1:19" x14ac:dyDescent="0.45">
      <c r="A97" t="s">
        <v>160</v>
      </c>
      <c r="B97" t="s">
        <v>37</v>
      </c>
      <c r="C97" t="s">
        <v>38</v>
      </c>
      <c r="D97" t="s">
        <v>29</v>
      </c>
      <c r="E97" s="1">
        <v>45335</v>
      </c>
      <c r="F97" s="1">
        <v>45337</v>
      </c>
      <c r="G97">
        <v>49</v>
      </c>
      <c r="H97">
        <v>5.19</v>
      </c>
      <c r="I97">
        <v>12.31</v>
      </c>
      <c r="J97">
        <v>2.82</v>
      </c>
      <c r="K97">
        <v>14</v>
      </c>
      <c r="L97">
        <v>70.53</v>
      </c>
      <c r="M97" t="s">
        <v>35</v>
      </c>
      <c r="N97" t="s">
        <v>39</v>
      </c>
      <c r="O97">
        <v>49</v>
      </c>
      <c r="P97">
        <v>2</v>
      </c>
      <c r="Q97" t="s">
        <v>65</v>
      </c>
      <c r="R97" t="s">
        <v>26</v>
      </c>
      <c r="S97">
        <v>70.53</v>
      </c>
    </row>
    <row r="98" spans="1:19" x14ac:dyDescent="0.45">
      <c r="A98" t="s">
        <v>161</v>
      </c>
      <c r="B98" t="s">
        <v>37</v>
      </c>
      <c r="C98" t="s">
        <v>93</v>
      </c>
      <c r="D98" t="s">
        <v>22</v>
      </c>
      <c r="E98" s="1">
        <v>45413.5</v>
      </c>
      <c r="F98" s="1">
        <v>45415.5</v>
      </c>
      <c r="G98">
        <v>48</v>
      </c>
      <c r="H98">
        <v>4.92</v>
      </c>
      <c r="I98">
        <v>7.74</v>
      </c>
      <c r="J98">
        <v>2.52</v>
      </c>
      <c r="K98">
        <v>0</v>
      </c>
      <c r="L98">
        <v>47.2</v>
      </c>
      <c r="M98" t="s">
        <v>23</v>
      </c>
      <c r="N98" t="s">
        <v>24</v>
      </c>
      <c r="O98">
        <v>48</v>
      </c>
      <c r="P98">
        <v>5</v>
      </c>
      <c r="Q98" t="s">
        <v>67</v>
      </c>
      <c r="R98" t="s">
        <v>46</v>
      </c>
      <c r="S98">
        <v>0</v>
      </c>
    </row>
    <row r="99" spans="1:19" x14ac:dyDescent="0.45">
      <c r="A99" t="s">
        <v>162</v>
      </c>
      <c r="B99" t="s">
        <v>48</v>
      </c>
      <c r="C99" t="s">
        <v>38</v>
      </c>
      <c r="D99" t="s">
        <v>22</v>
      </c>
      <c r="E99" s="1">
        <v>45621.375</v>
      </c>
      <c r="F99" s="1">
        <v>45623.583333333336</v>
      </c>
      <c r="G99">
        <v>53</v>
      </c>
      <c r="H99">
        <v>4.8499999999999996</v>
      </c>
      <c r="I99">
        <v>7.65</v>
      </c>
      <c r="J99">
        <v>2.5</v>
      </c>
      <c r="K99">
        <v>0</v>
      </c>
      <c r="L99">
        <v>47.42</v>
      </c>
      <c r="M99" t="s">
        <v>79</v>
      </c>
      <c r="N99" t="s">
        <v>24</v>
      </c>
      <c r="O99">
        <v>53</v>
      </c>
      <c r="P99">
        <v>11</v>
      </c>
      <c r="Q99" t="s">
        <v>89</v>
      </c>
      <c r="R99" t="s">
        <v>62</v>
      </c>
      <c r="S99">
        <v>0</v>
      </c>
    </row>
    <row r="100" spans="1:19" x14ac:dyDescent="0.45">
      <c r="A100" t="s">
        <v>163</v>
      </c>
      <c r="B100" t="s">
        <v>20</v>
      </c>
      <c r="C100" t="s">
        <v>53</v>
      </c>
      <c r="D100" t="s">
        <v>50</v>
      </c>
      <c r="E100" s="1">
        <v>45367</v>
      </c>
      <c r="F100" s="1">
        <v>45368</v>
      </c>
      <c r="G100">
        <v>25</v>
      </c>
      <c r="H100">
        <v>5.15</v>
      </c>
      <c r="I100">
        <v>7.41</v>
      </c>
      <c r="J100">
        <v>2.78</v>
      </c>
      <c r="K100">
        <v>0</v>
      </c>
      <c r="L100">
        <v>60.88</v>
      </c>
      <c r="M100" t="s">
        <v>30</v>
      </c>
      <c r="N100" t="s">
        <v>24</v>
      </c>
      <c r="O100">
        <v>25</v>
      </c>
      <c r="P100">
        <v>3</v>
      </c>
      <c r="Q100" t="s">
        <v>45</v>
      </c>
      <c r="R100" t="s">
        <v>46</v>
      </c>
      <c r="S100">
        <v>0</v>
      </c>
    </row>
    <row r="101" spans="1:19" x14ac:dyDescent="0.45">
      <c r="A101" t="s">
        <v>164</v>
      </c>
      <c r="B101" t="s">
        <v>28</v>
      </c>
      <c r="C101" t="s">
        <v>93</v>
      </c>
      <c r="D101" t="s">
        <v>50</v>
      </c>
      <c r="E101" s="1">
        <v>45603</v>
      </c>
      <c r="F101" s="1">
        <v>45604</v>
      </c>
      <c r="G101">
        <v>27</v>
      </c>
      <c r="H101">
        <v>4.9000000000000004</v>
      </c>
      <c r="I101">
        <v>7.79</v>
      </c>
      <c r="J101">
        <v>2.5499999999999998</v>
      </c>
      <c r="K101">
        <v>0</v>
      </c>
      <c r="L101">
        <v>21.86</v>
      </c>
      <c r="M101" t="s">
        <v>57</v>
      </c>
      <c r="N101" t="s">
        <v>24</v>
      </c>
      <c r="O101">
        <v>27</v>
      </c>
      <c r="P101">
        <v>11</v>
      </c>
      <c r="Q101" t="s">
        <v>89</v>
      </c>
      <c r="R101" t="s">
        <v>62</v>
      </c>
      <c r="S101">
        <v>0</v>
      </c>
    </row>
    <row r="102" spans="1:19" x14ac:dyDescent="0.45">
      <c r="A102" t="s">
        <v>165</v>
      </c>
      <c r="B102" t="s">
        <v>20</v>
      </c>
      <c r="C102" t="s">
        <v>73</v>
      </c>
      <c r="D102" t="s">
        <v>78</v>
      </c>
      <c r="E102" s="1">
        <v>45646</v>
      </c>
      <c r="F102" s="1">
        <v>45649.916666666664</v>
      </c>
      <c r="G102">
        <v>94</v>
      </c>
      <c r="H102">
        <v>5.18</v>
      </c>
      <c r="I102">
        <v>7.8</v>
      </c>
      <c r="J102">
        <v>2.56</v>
      </c>
      <c r="K102">
        <v>0</v>
      </c>
      <c r="L102">
        <v>36.99</v>
      </c>
      <c r="M102" t="s">
        <v>44</v>
      </c>
      <c r="N102" t="s">
        <v>24</v>
      </c>
      <c r="O102">
        <v>94</v>
      </c>
      <c r="P102">
        <v>12</v>
      </c>
      <c r="Q102" t="s">
        <v>54</v>
      </c>
      <c r="R102" t="s">
        <v>26</v>
      </c>
      <c r="S102">
        <v>0</v>
      </c>
    </row>
    <row r="103" spans="1:19" x14ac:dyDescent="0.45">
      <c r="A103" t="s">
        <v>166</v>
      </c>
      <c r="B103" t="s">
        <v>52</v>
      </c>
      <c r="C103" t="s">
        <v>82</v>
      </c>
      <c r="D103" t="s">
        <v>78</v>
      </c>
      <c r="E103" s="1">
        <v>45532</v>
      </c>
      <c r="F103" s="1">
        <v>45534</v>
      </c>
      <c r="G103">
        <v>58</v>
      </c>
      <c r="H103">
        <v>5.15</v>
      </c>
      <c r="I103">
        <v>7.75</v>
      </c>
      <c r="J103">
        <v>2.5499999999999998</v>
      </c>
      <c r="K103">
        <v>2</v>
      </c>
      <c r="L103">
        <v>6.01</v>
      </c>
      <c r="M103" t="s">
        <v>75</v>
      </c>
      <c r="N103" t="s">
        <v>109</v>
      </c>
      <c r="O103">
        <v>58</v>
      </c>
      <c r="P103">
        <v>8</v>
      </c>
      <c r="Q103" t="s">
        <v>58</v>
      </c>
      <c r="R103" t="s">
        <v>32</v>
      </c>
      <c r="S103">
        <v>0</v>
      </c>
    </row>
    <row r="104" spans="1:19" x14ac:dyDescent="0.45">
      <c r="A104" t="s">
        <v>167</v>
      </c>
      <c r="B104" t="s">
        <v>28</v>
      </c>
      <c r="C104" t="s">
        <v>82</v>
      </c>
      <c r="D104" t="s">
        <v>56</v>
      </c>
      <c r="E104" s="1">
        <v>45592</v>
      </c>
      <c r="F104" s="1">
        <v>45596</v>
      </c>
      <c r="G104">
        <v>90</v>
      </c>
      <c r="H104">
        <v>5.22</v>
      </c>
      <c r="I104">
        <v>7.75</v>
      </c>
      <c r="J104">
        <v>2.54</v>
      </c>
      <c r="K104">
        <v>0</v>
      </c>
      <c r="L104">
        <v>48.68</v>
      </c>
      <c r="M104" t="s">
        <v>106</v>
      </c>
      <c r="N104" t="s">
        <v>24</v>
      </c>
      <c r="O104">
        <v>90</v>
      </c>
      <c r="P104">
        <v>10</v>
      </c>
      <c r="Q104" t="s">
        <v>61</v>
      </c>
      <c r="R104" t="s">
        <v>62</v>
      </c>
      <c r="S104">
        <v>0</v>
      </c>
    </row>
    <row r="105" spans="1:19" x14ac:dyDescent="0.45">
      <c r="A105" t="s">
        <v>168</v>
      </c>
      <c r="B105" t="s">
        <v>28</v>
      </c>
      <c r="C105" t="s">
        <v>42</v>
      </c>
      <c r="D105" t="s">
        <v>50</v>
      </c>
      <c r="E105" s="1">
        <v>45521.333333333336</v>
      </c>
      <c r="F105" s="1">
        <v>45523.958333333336</v>
      </c>
      <c r="G105">
        <v>63</v>
      </c>
      <c r="H105">
        <v>4.74</v>
      </c>
      <c r="I105">
        <v>7.69</v>
      </c>
      <c r="J105">
        <v>2.5499999999999998</v>
      </c>
      <c r="K105">
        <v>0</v>
      </c>
      <c r="L105">
        <v>36.979999999999997</v>
      </c>
      <c r="M105" t="s">
        <v>57</v>
      </c>
      <c r="N105" t="s">
        <v>24</v>
      </c>
      <c r="O105">
        <v>63</v>
      </c>
      <c r="P105">
        <v>8</v>
      </c>
      <c r="Q105" t="s">
        <v>58</v>
      </c>
      <c r="R105" t="s">
        <v>32</v>
      </c>
      <c r="S105">
        <v>0</v>
      </c>
    </row>
    <row r="106" spans="1:19" x14ac:dyDescent="0.45">
      <c r="A106" t="s">
        <v>169</v>
      </c>
      <c r="B106" t="s">
        <v>37</v>
      </c>
      <c r="C106" t="s">
        <v>93</v>
      </c>
      <c r="D106" t="s">
        <v>50</v>
      </c>
      <c r="E106" s="1">
        <v>45379.208333333336</v>
      </c>
      <c r="F106" s="1">
        <v>45381.666666666664</v>
      </c>
      <c r="G106">
        <v>59</v>
      </c>
      <c r="H106">
        <v>5.14</v>
      </c>
      <c r="I106">
        <v>7.68</v>
      </c>
      <c r="J106">
        <v>2.6</v>
      </c>
      <c r="K106">
        <v>0</v>
      </c>
      <c r="L106">
        <v>48.7</v>
      </c>
      <c r="M106" t="s">
        <v>30</v>
      </c>
      <c r="N106" t="s">
        <v>24</v>
      </c>
      <c r="O106">
        <v>59</v>
      </c>
      <c r="P106">
        <v>3</v>
      </c>
      <c r="Q106" t="s">
        <v>45</v>
      </c>
      <c r="R106" t="s">
        <v>46</v>
      </c>
      <c r="S106">
        <v>0</v>
      </c>
    </row>
    <row r="107" spans="1:19" x14ac:dyDescent="0.45">
      <c r="A107" t="s">
        <v>170</v>
      </c>
      <c r="B107" t="s">
        <v>28</v>
      </c>
      <c r="C107" t="s">
        <v>73</v>
      </c>
      <c r="D107" t="s">
        <v>56</v>
      </c>
      <c r="E107" s="1">
        <v>45379.25</v>
      </c>
      <c r="F107" s="1">
        <v>45381.791666666664</v>
      </c>
      <c r="G107">
        <v>61</v>
      </c>
      <c r="H107">
        <v>5.07</v>
      </c>
      <c r="I107">
        <v>7.7</v>
      </c>
      <c r="J107">
        <v>2.5</v>
      </c>
      <c r="K107">
        <v>0</v>
      </c>
      <c r="L107">
        <v>17.89</v>
      </c>
      <c r="M107" t="s">
        <v>44</v>
      </c>
      <c r="N107" t="s">
        <v>24</v>
      </c>
      <c r="O107">
        <v>61</v>
      </c>
      <c r="P107">
        <v>3</v>
      </c>
      <c r="Q107" t="s">
        <v>45</v>
      </c>
      <c r="R107" t="s">
        <v>46</v>
      </c>
      <c r="S107">
        <v>0</v>
      </c>
    </row>
    <row r="108" spans="1:19" x14ac:dyDescent="0.45">
      <c r="A108" t="s">
        <v>171</v>
      </c>
      <c r="B108" t="s">
        <v>52</v>
      </c>
      <c r="C108" t="s">
        <v>93</v>
      </c>
      <c r="D108" t="s">
        <v>56</v>
      </c>
      <c r="E108" s="1">
        <v>45435.333333333336</v>
      </c>
      <c r="F108" s="1">
        <v>45438.708333333336</v>
      </c>
      <c r="G108">
        <v>81</v>
      </c>
      <c r="H108">
        <v>4.95</v>
      </c>
      <c r="I108">
        <v>9.0299999999999994</v>
      </c>
      <c r="J108">
        <v>2.5299999999999998</v>
      </c>
      <c r="K108">
        <v>2</v>
      </c>
      <c r="L108">
        <v>47.93</v>
      </c>
      <c r="M108" t="s">
        <v>75</v>
      </c>
      <c r="N108" t="s">
        <v>109</v>
      </c>
      <c r="O108">
        <v>81</v>
      </c>
      <c r="P108">
        <v>5</v>
      </c>
      <c r="Q108" t="s">
        <v>67</v>
      </c>
      <c r="R108" t="s">
        <v>46</v>
      </c>
      <c r="S108">
        <v>0</v>
      </c>
    </row>
    <row r="109" spans="1:19" x14ac:dyDescent="0.45">
      <c r="A109" t="s">
        <v>172</v>
      </c>
      <c r="B109" t="s">
        <v>28</v>
      </c>
      <c r="C109" t="s">
        <v>93</v>
      </c>
      <c r="D109" t="s">
        <v>56</v>
      </c>
      <c r="E109" s="1">
        <v>45588</v>
      </c>
      <c r="F109" s="1">
        <v>45592</v>
      </c>
      <c r="G109">
        <v>93</v>
      </c>
      <c r="H109">
        <v>5.39</v>
      </c>
      <c r="I109">
        <v>7.75</v>
      </c>
      <c r="J109">
        <v>2.5099999999999998</v>
      </c>
      <c r="K109">
        <v>0</v>
      </c>
      <c r="L109">
        <v>76.400000000000006</v>
      </c>
      <c r="M109" t="s">
        <v>30</v>
      </c>
      <c r="N109" t="s">
        <v>24</v>
      </c>
      <c r="O109">
        <v>93</v>
      </c>
      <c r="P109">
        <v>10</v>
      </c>
      <c r="Q109" t="s">
        <v>61</v>
      </c>
      <c r="R109" t="s">
        <v>62</v>
      </c>
      <c r="S109">
        <v>0</v>
      </c>
    </row>
    <row r="110" spans="1:19" x14ac:dyDescent="0.45">
      <c r="A110" t="s">
        <v>173</v>
      </c>
      <c r="B110" t="s">
        <v>20</v>
      </c>
      <c r="C110" t="s">
        <v>21</v>
      </c>
      <c r="D110" t="s">
        <v>56</v>
      </c>
      <c r="E110" s="1">
        <v>45597.791666666664</v>
      </c>
      <c r="F110" s="1">
        <v>45601.25</v>
      </c>
      <c r="G110">
        <v>83</v>
      </c>
      <c r="H110">
        <v>5.52</v>
      </c>
      <c r="I110">
        <v>7.79</v>
      </c>
      <c r="J110">
        <v>2.6</v>
      </c>
      <c r="K110">
        <v>0</v>
      </c>
      <c r="L110">
        <v>54.8</v>
      </c>
      <c r="M110" t="s">
        <v>23</v>
      </c>
      <c r="N110" t="s">
        <v>24</v>
      </c>
      <c r="O110">
        <v>83</v>
      </c>
      <c r="P110">
        <v>11</v>
      </c>
      <c r="Q110" t="s">
        <v>89</v>
      </c>
      <c r="R110" t="s">
        <v>62</v>
      </c>
      <c r="S110">
        <v>0</v>
      </c>
    </row>
    <row r="111" spans="1:19" x14ac:dyDescent="0.45">
      <c r="A111" t="s">
        <v>174</v>
      </c>
      <c r="B111" t="s">
        <v>20</v>
      </c>
      <c r="C111" t="s">
        <v>73</v>
      </c>
      <c r="D111" t="s">
        <v>78</v>
      </c>
      <c r="E111" s="1">
        <v>45463</v>
      </c>
      <c r="F111" s="1">
        <v>45465</v>
      </c>
      <c r="G111">
        <v>47</v>
      </c>
      <c r="H111">
        <v>4.96</v>
      </c>
      <c r="I111">
        <v>7.54</v>
      </c>
      <c r="J111">
        <v>2.5</v>
      </c>
      <c r="K111">
        <v>0</v>
      </c>
      <c r="L111">
        <v>46.52</v>
      </c>
      <c r="M111" t="s">
        <v>106</v>
      </c>
      <c r="N111" t="s">
        <v>24</v>
      </c>
      <c r="O111">
        <v>47</v>
      </c>
      <c r="P111">
        <v>6</v>
      </c>
      <c r="Q111" t="s">
        <v>40</v>
      </c>
      <c r="R111" t="s">
        <v>32</v>
      </c>
      <c r="S111">
        <v>0</v>
      </c>
    </row>
    <row r="112" spans="1:19" x14ac:dyDescent="0.45">
      <c r="A112" t="s">
        <v>175</v>
      </c>
      <c r="B112" t="s">
        <v>48</v>
      </c>
      <c r="C112" t="s">
        <v>38</v>
      </c>
      <c r="D112" t="s">
        <v>56</v>
      </c>
      <c r="E112" s="1">
        <v>45438.166666666664</v>
      </c>
      <c r="F112" s="1">
        <v>45438.916666666664</v>
      </c>
      <c r="G112">
        <v>18</v>
      </c>
      <c r="H112">
        <v>4.9000000000000004</v>
      </c>
      <c r="I112">
        <v>7.59</v>
      </c>
      <c r="J112">
        <v>2.56</v>
      </c>
      <c r="K112">
        <v>0</v>
      </c>
      <c r="L112">
        <v>63.9</v>
      </c>
      <c r="M112" t="s">
        <v>79</v>
      </c>
      <c r="N112" t="s">
        <v>24</v>
      </c>
      <c r="O112">
        <v>18</v>
      </c>
      <c r="P112">
        <v>5</v>
      </c>
      <c r="Q112" t="s">
        <v>67</v>
      </c>
      <c r="R112" t="s">
        <v>46</v>
      </c>
      <c r="S112">
        <v>0</v>
      </c>
    </row>
    <row r="113" spans="1:19" x14ac:dyDescent="0.45">
      <c r="A113" t="s">
        <v>176</v>
      </c>
      <c r="B113" t="s">
        <v>37</v>
      </c>
      <c r="C113" t="s">
        <v>21</v>
      </c>
      <c r="D113" t="s">
        <v>29</v>
      </c>
      <c r="E113" s="1">
        <v>45350</v>
      </c>
      <c r="F113" s="1">
        <v>45351</v>
      </c>
      <c r="G113">
        <v>19</v>
      </c>
      <c r="H113">
        <v>5.55</v>
      </c>
      <c r="I113">
        <v>7.75</v>
      </c>
      <c r="J113">
        <v>2.85</v>
      </c>
      <c r="K113">
        <v>0</v>
      </c>
      <c r="L113">
        <v>28.88</v>
      </c>
      <c r="M113" t="s">
        <v>79</v>
      </c>
      <c r="N113" t="s">
        <v>24</v>
      </c>
      <c r="O113">
        <v>19</v>
      </c>
      <c r="P113">
        <v>2</v>
      </c>
      <c r="Q113" t="s">
        <v>65</v>
      </c>
      <c r="R113" t="s">
        <v>26</v>
      </c>
      <c r="S113">
        <v>0</v>
      </c>
    </row>
    <row r="114" spans="1:19" x14ac:dyDescent="0.45">
      <c r="A114" t="s">
        <v>177</v>
      </c>
      <c r="B114" t="s">
        <v>52</v>
      </c>
      <c r="C114" t="s">
        <v>53</v>
      </c>
      <c r="D114" t="s">
        <v>29</v>
      </c>
      <c r="E114" s="1">
        <v>45466.75</v>
      </c>
      <c r="F114" s="1">
        <v>45468.875</v>
      </c>
      <c r="G114">
        <v>51</v>
      </c>
      <c r="H114">
        <v>5.26</v>
      </c>
      <c r="I114">
        <v>7.69</v>
      </c>
      <c r="J114">
        <v>2.6</v>
      </c>
      <c r="K114">
        <v>0</v>
      </c>
      <c r="L114">
        <v>36.07</v>
      </c>
      <c r="M114" t="s">
        <v>57</v>
      </c>
      <c r="N114" t="s">
        <v>24</v>
      </c>
      <c r="O114">
        <v>51</v>
      </c>
      <c r="P114">
        <v>6</v>
      </c>
      <c r="Q114" t="s">
        <v>40</v>
      </c>
      <c r="R114" t="s">
        <v>32</v>
      </c>
      <c r="S114">
        <v>0</v>
      </c>
    </row>
    <row r="115" spans="1:19" x14ac:dyDescent="0.45">
      <c r="A115" t="s">
        <v>178</v>
      </c>
      <c r="B115" t="s">
        <v>48</v>
      </c>
      <c r="C115" t="s">
        <v>42</v>
      </c>
      <c r="D115" t="s">
        <v>50</v>
      </c>
      <c r="E115" s="1">
        <v>45461.166666666664</v>
      </c>
      <c r="F115" s="1">
        <v>45464.25</v>
      </c>
      <c r="G115">
        <v>74</v>
      </c>
      <c r="H115">
        <v>4.9800000000000004</v>
      </c>
      <c r="I115">
        <v>7.63</v>
      </c>
      <c r="J115">
        <v>2.57</v>
      </c>
      <c r="K115">
        <v>0</v>
      </c>
      <c r="L115">
        <v>72.260000000000005</v>
      </c>
      <c r="M115" t="s">
        <v>75</v>
      </c>
      <c r="N115" t="s">
        <v>24</v>
      </c>
      <c r="O115">
        <v>74</v>
      </c>
      <c r="P115">
        <v>6</v>
      </c>
      <c r="Q115" t="s">
        <v>40</v>
      </c>
      <c r="R115" t="s">
        <v>32</v>
      </c>
      <c r="S115">
        <v>0</v>
      </c>
    </row>
    <row r="116" spans="1:19" x14ac:dyDescent="0.45">
      <c r="A116" t="s">
        <v>179</v>
      </c>
      <c r="B116" t="s">
        <v>20</v>
      </c>
      <c r="C116" t="s">
        <v>82</v>
      </c>
      <c r="D116" t="s">
        <v>78</v>
      </c>
      <c r="E116" s="1">
        <v>45548</v>
      </c>
      <c r="F116" s="1">
        <v>45549</v>
      </c>
      <c r="G116">
        <v>29</v>
      </c>
      <c r="H116">
        <v>5.0199999999999996</v>
      </c>
      <c r="I116">
        <v>7.72</v>
      </c>
      <c r="J116">
        <v>2.5</v>
      </c>
      <c r="K116">
        <v>0</v>
      </c>
      <c r="L116">
        <v>28.93</v>
      </c>
      <c r="M116" t="s">
        <v>79</v>
      </c>
      <c r="N116" t="s">
        <v>24</v>
      </c>
      <c r="O116">
        <v>29</v>
      </c>
      <c r="P116">
        <v>9</v>
      </c>
      <c r="Q116" t="s">
        <v>76</v>
      </c>
      <c r="R116" t="s">
        <v>32</v>
      </c>
      <c r="S116">
        <v>0</v>
      </c>
    </row>
    <row r="117" spans="1:19" x14ac:dyDescent="0.45">
      <c r="A117" t="s">
        <v>180</v>
      </c>
      <c r="B117" t="s">
        <v>28</v>
      </c>
      <c r="C117" t="s">
        <v>73</v>
      </c>
      <c r="D117" t="s">
        <v>78</v>
      </c>
      <c r="E117" s="1">
        <v>45632</v>
      </c>
      <c r="F117" s="1">
        <v>45635</v>
      </c>
      <c r="G117">
        <v>84</v>
      </c>
      <c r="H117">
        <v>6.04</v>
      </c>
      <c r="I117">
        <v>12.41</v>
      </c>
      <c r="J117">
        <v>2.52</v>
      </c>
      <c r="K117">
        <v>11</v>
      </c>
      <c r="L117">
        <v>17.37</v>
      </c>
      <c r="M117" t="s">
        <v>57</v>
      </c>
      <c r="N117" t="s">
        <v>39</v>
      </c>
      <c r="O117">
        <v>84</v>
      </c>
      <c r="P117">
        <v>12</v>
      </c>
      <c r="Q117" t="s">
        <v>54</v>
      </c>
      <c r="R117" t="s">
        <v>26</v>
      </c>
      <c r="S117">
        <v>17.37</v>
      </c>
    </row>
    <row r="118" spans="1:19" x14ac:dyDescent="0.45">
      <c r="A118" t="s">
        <v>181</v>
      </c>
      <c r="B118" t="s">
        <v>20</v>
      </c>
      <c r="C118" t="s">
        <v>21</v>
      </c>
      <c r="D118" t="s">
        <v>22</v>
      </c>
      <c r="E118" s="1">
        <v>45439</v>
      </c>
      <c r="F118" s="1">
        <v>45441</v>
      </c>
      <c r="G118">
        <v>40</v>
      </c>
      <c r="H118">
        <v>5.13</v>
      </c>
      <c r="I118">
        <v>7.7</v>
      </c>
      <c r="J118">
        <v>2.68</v>
      </c>
      <c r="K118">
        <v>0</v>
      </c>
      <c r="L118">
        <v>32.61</v>
      </c>
      <c r="M118" t="s">
        <v>30</v>
      </c>
      <c r="N118" t="s">
        <v>24</v>
      </c>
      <c r="O118">
        <v>40</v>
      </c>
      <c r="P118">
        <v>5</v>
      </c>
      <c r="Q118" t="s">
        <v>67</v>
      </c>
      <c r="R118" t="s">
        <v>46</v>
      </c>
      <c r="S118">
        <v>0</v>
      </c>
    </row>
    <row r="119" spans="1:19" x14ac:dyDescent="0.45">
      <c r="A119" t="s">
        <v>182</v>
      </c>
      <c r="B119" t="s">
        <v>48</v>
      </c>
      <c r="C119" t="s">
        <v>21</v>
      </c>
      <c r="D119" t="s">
        <v>50</v>
      </c>
      <c r="E119" s="1">
        <v>45393.5</v>
      </c>
      <c r="F119" s="1">
        <v>45396.833333333336</v>
      </c>
      <c r="G119">
        <v>80</v>
      </c>
      <c r="H119">
        <v>6.16</v>
      </c>
      <c r="I119">
        <v>12.31</v>
      </c>
      <c r="J119">
        <v>2.54</v>
      </c>
      <c r="K119">
        <v>11</v>
      </c>
      <c r="L119">
        <v>79.290000000000006</v>
      </c>
      <c r="M119" t="s">
        <v>75</v>
      </c>
      <c r="N119" t="s">
        <v>39</v>
      </c>
      <c r="O119">
        <v>80</v>
      </c>
      <c r="P119">
        <v>4</v>
      </c>
      <c r="Q119" t="s">
        <v>69</v>
      </c>
      <c r="R119" t="s">
        <v>46</v>
      </c>
      <c r="S119">
        <v>79.290000000000006</v>
      </c>
    </row>
    <row r="120" spans="1:19" x14ac:dyDescent="0.45">
      <c r="A120" t="s">
        <v>183</v>
      </c>
      <c r="B120" t="s">
        <v>20</v>
      </c>
      <c r="C120" t="s">
        <v>38</v>
      </c>
      <c r="D120" t="s">
        <v>78</v>
      </c>
      <c r="E120" s="1">
        <v>45381.416666666664</v>
      </c>
      <c r="F120" s="1">
        <v>45385.166666666664</v>
      </c>
      <c r="G120">
        <v>90</v>
      </c>
      <c r="H120">
        <v>5.36</v>
      </c>
      <c r="I120">
        <v>7.78</v>
      </c>
      <c r="J120">
        <v>2.52</v>
      </c>
      <c r="K120">
        <v>0</v>
      </c>
      <c r="L120">
        <v>23.64</v>
      </c>
      <c r="M120" t="s">
        <v>75</v>
      </c>
      <c r="N120" t="s">
        <v>24</v>
      </c>
      <c r="O120">
        <v>90</v>
      </c>
      <c r="P120">
        <v>3</v>
      </c>
      <c r="Q120" t="s">
        <v>45</v>
      </c>
      <c r="R120" t="s">
        <v>46</v>
      </c>
      <c r="S120">
        <v>0</v>
      </c>
    </row>
    <row r="121" spans="1:19" x14ac:dyDescent="0.45">
      <c r="A121" t="s">
        <v>184</v>
      </c>
      <c r="B121" t="s">
        <v>20</v>
      </c>
      <c r="C121" t="s">
        <v>82</v>
      </c>
      <c r="D121" t="s">
        <v>78</v>
      </c>
      <c r="E121" s="1">
        <v>45333</v>
      </c>
      <c r="F121" s="1">
        <v>45335</v>
      </c>
      <c r="G121">
        <v>52</v>
      </c>
      <c r="H121">
        <v>5.0199999999999996</v>
      </c>
      <c r="I121">
        <v>7.76</v>
      </c>
      <c r="J121">
        <v>2.5</v>
      </c>
      <c r="K121">
        <v>0</v>
      </c>
      <c r="L121">
        <v>41.5</v>
      </c>
      <c r="M121" t="s">
        <v>57</v>
      </c>
      <c r="N121" t="s">
        <v>24</v>
      </c>
      <c r="O121">
        <v>52</v>
      </c>
      <c r="P121">
        <v>2</v>
      </c>
      <c r="Q121" t="s">
        <v>65</v>
      </c>
      <c r="R121" t="s">
        <v>26</v>
      </c>
      <c r="S121">
        <v>0</v>
      </c>
    </row>
    <row r="122" spans="1:19" x14ac:dyDescent="0.45">
      <c r="A122" t="s">
        <v>185</v>
      </c>
      <c r="B122" t="s">
        <v>37</v>
      </c>
      <c r="C122" t="s">
        <v>53</v>
      </c>
      <c r="D122" t="s">
        <v>29</v>
      </c>
      <c r="E122" s="1">
        <v>45543</v>
      </c>
      <c r="F122" s="1">
        <v>45545</v>
      </c>
      <c r="G122">
        <v>46</v>
      </c>
      <c r="H122">
        <v>4.8</v>
      </c>
      <c r="I122">
        <v>7.55</v>
      </c>
      <c r="J122">
        <v>2.5099999999999998</v>
      </c>
      <c r="K122">
        <v>0</v>
      </c>
      <c r="L122">
        <v>18.690000000000001</v>
      </c>
      <c r="M122" t="s">
        <v>30</v>
      </c>
      <c r="N122" t="s">
        <v>24</v>
      </c>
      <c r="O122">
        <v>46</v>
      </c>
      <c r="P122">
        <v>9</v>
      </c>
      <c r="Q122" t="s">
        <v>76</v>
      </c>
      <c r="R122" t="s">
        <v>32</v>
      </c>
      <c r="S122">
        <v>0</v>
      </c>
    </row>
    <row r="123" spans="1:19" x14ac:dyDescent="0.45">
      <c r="A123" t="s">
        <v>186</v>
      </c>
      <c r="B123" t="s">
        <v>52</v>
      </c>
      <c r="C123" t="s">
        <v>82</v>
      </c>
      <c r="D123" t="s">
        <v>78</v>
      </c>
      <c r="E123" s="1">
        <v>45441</v>
      </c>
      <c r="F123" s="1">
        <v>45444.791666666664</v>
      </c>
      <c r="G123">
        <v>91</v>
      </c>
      <c r="H123">
        <v>5.93</v>
      </c>
      <c r="I123">
        <v>12.35</v>
      </c>
      <c r="J123">
        <v>2.56</v>
      </c>
      <c r="K123">
        <v>13</v>
      </c>
      <c r="L123">
        <v>38.19</v>
      </c>
      <c r="M123" t="s">
        <v>30</v>
      </c>
      <c r="N123" t="s">
        <v>39</v>
      </c>
      <c r="O123">
        <v>91</v>
      </c>
      <c r="P123">
        <v>5</v>
      </c>
      <c r="Q123" t="s">
        <v>67</v>
      </c>
      <c r="R123" t="s">
        <v>46</v>
      </c>
      <c r="S123">
        <v>38.19</v>
      </c>
    </row>
    <row r="124" spans="1:19" x14ac:dyDescent="0.45">
      <c r="A124" t="s">
        <v>187</v>
      </c>
      <c r="B124" t="s">
        <v>52</v>
      </c>
      <c r="C124" t="s">
        <v>38</v>
      </c>
      <c r="D124" t="s">
        <v>56</v>
      </c>
      <c r="E124" s="1">
        <v>45422.25</v>
      </c>
      <c r="F124" s="1">
        <v>45422.75</v>
      </c>
      <c r="G124">
        <v>12</v>
      </c>
      <c r="H124">
        <v>5.05</v>
      </c>
      <c r="I124">
        <v>7.16</v>
      </c>
      <c r="J124">
        <v>2.61</v>
      </c>
      <c r="K124">
        <v>0</v>
      </c>
      <c r="L124">
        <v>63.43</v>
      </c>
      <c r="M124" t="s">
        <v>75</v>
      </c>
      <c r="N124" t="s">
        <v>24</v>
      </c>
      <c r="O124">
        <v>12</v>
      </c>
      <c r="P124">
        <v>5</v>
      </c>
      <c r="Q124" t="s">
        <v>67</v>
      </c>
      <c r="R124" t="s">
        <v>46</v>
      </c>
      <c r="S124">
        <v>0</v>
      </c>
    </row>
    <row r="125" spans="1:19" x14ac:dyDescent="0.45">
      <c r="A125" t="s">
        <v>188</v>
      </c>
      <c r="B125" t="s">
        <v>37</v>
      </c>
      <c r="C125" t="s">
        <v>34</v>
      </c>
      <c r="D125" t="s">
        <v>56</v>
      </c>
      <c r="E125" s="1">
        <v>45347</v>
      </c>
      <c r="F125" s="1">
        <v>45348</v>
      </c>
      <c r="G125">
        <v>34</v>
      </c>
      <c r="H125">
        <v>5.45</v>
      </c>
      <c r="I125">
        <v>7.79</v>
      </c>
      <c r="J125">
        <v>2.65</v>
      </c>
      <c r="K125">
        <v>0</v>
      </c>
      <c r="L125">
        <v>73.87</v>
      </c>
      <c r="M125" t="s">
        <v>75</v>
      </c>
      <c r="N125" t="s">
        <v>24</v>
      </c>
      <c r="O125">
        <v>34</v>
      </c>
      <c r="P125">
        <v>2</v>
      </c>
      <c r="Q125" t="s">
        <v>65</v>
      </c>
      <c r="R125" t="s">
        <v>26</v>
      </c>
      <c r="S125">
        <v>0</v>
      </c>
    </row>
    <row r="126" spans="1:19" x14ac:dyDescent="0.45">
      <c r="A126" t="s">
        <v>189</v>
      </c>
      <c r="B126" t="s">
        <v>52</v>
      </c>
      <c r="C126" t="s">
        <v>73</v>
      </c>
      <c r="D126" t="s">
        <v>50</v>
      </c>
      <c r="E126" s="1">
        <v>45440.291666666664</v>
      </c>
      <c r="F126" s="1">
        <v>45442.791666666664</v>
      </c>
      <c r="G126">
        <v>60</v>
      </c>
      <c r="H126">
        <v>5.0999999999999996</v>
      </c>
      <c r="I126">
        <v>7.69</v>
      </c>
      <c r="J126">
        <v>2.6</v>
      </c>
      <c r="K126">
        <v>0</v>
      </c>
      <c r="L126">
        <v>50.03</v>
      </c>
      <c r="M126" t="s">
        <v>30</v>
      </c>
      <c r="N126" t="s">
        <v>24</v>
      </c>
      <c r="O126">
        <v>60</v>
      </c>
      <c r="P126">
        <v>5</v>
      </c>
      <c r="Q126" t="s">
        <v>67</v>
      </c>
      <c r="R126" t="s">
        <v>46</v>
      </c>
      <c r="S126">
        <v>0</v>
      </c>
    </row>
    <row r="127" spans="1:19" x14ac:dyDescent="0.45">
      <c r="A127" t="s">
        <v>190</v>
      </c>
      <c r="B127" t="s">
        <v>52</v>
      </c>
      <c r="C127" t="s">
        <v>21</v>
      </c>
      <c r="D127" t="s">
        <v>56</v>
      </c>
      <c r="E127" s="1">
        <v>45338.041666666664</v>
      </c>
      <c r="F127" s="1">
        <v>45339.125</v>
      </c>
      <c r="G127">
        <v>26</v>
      </c>
      <c r="H127">
        <v>5.31</v>
      </c>
      <c r="I127">
        <v>7.68</v>
      </c>
      <c r="J127">
        <v>2.67</v>
      </c>
      <c r="K127">
        <v>0</v>
      </c>
      <c r="L127">
        <v>16.46</v>
      </c>
      <c r="M127" t="s">
        <v>44</v>
      </c>
      <c r="N127" t="s">
        <v>24</v>
      </c>
      <c r="O127">
        <v>26</v>
      </c>
      <c r="P127">
        <v>2</v>
      </c>
      <c r="Q127" t="s">
        <v>65</v>
      </c>
      <c r="R127" t="s">
        <v>26</v>
      </c>
      <c r="S127">
        <v>0</v>
      </c>
    </row>
    <row r="128" spans="1:19" x14ac:dyDescent="0.45">
      <c r="A128" t="s">
        <v>191</v>
      </c>
      <c r="B128" t="s">
        <v>20</v>
      </c>
      <c r="C128" t="s">
        <v>73</v>
      </c>
      <c r="D128" t="s">
        <v>43</v>
      </c>
      <c r="E128" s="1">
        <v>45317.583333333336</v>
      </c>
      <c r="F128" s="1">
        <v>45320.75</v>
      </c>
      <c r="G128">
        <v>76</v>
      </c>
      <c r="H128">
        <v>5.17</v>
      </c>
      <c r="I128">
        <v>7.75</v>
      </c>
      <c r="J128">
        <v>2.56</v>
      </c>
      <c r="K128">
        <v>0</v>
      </c>
      <c r="L128">
        <v>16.690000000000001</v>
      </c>
      <c r="M128" t="s">
        <v>43</v>
      </c>
      <c r="N128" t="s">
        <v>24</v>
      </c>
      <c r="O128">
        <v>76</v>
      </c>
      <c r="P128">
        <v>1</v>
      </c>
      <c r="Q128" t="s">
        <v>25</v>
      </c>
      <c r="R128" t="s">
        <v>26</v>
      </c>
      <c r="S128">
        <v>0</v>
      </c>
    </row>
    <row r="129" spans="1:19" x14ac:dyDescent="0.45">
      <c r="A129" t="s">
        <v>192</v>
      </c>
      <c r="B129" t="s">
        <v>48</v>
      </c>
      <c r="C129" t="s">
        <v>42</v>
      </c>
      <c r="D129" t="s">
        <v>50</v>
      </c>
      <c r="E129" s="1">
        <v>45628</v>
      </c>
      <c r="F129" s="1">
        <v>45631</v>
      </c>
      <c r="G129">
        <v>68</v>
      </c>
      <c r="H129">
        <v>5.5</v>
      </c>
      <c r="I129">
        <v>7.79</v>
      </c>
      <c r="J129">
        <v>2.52</v>
      </c>
      <c r="K129">
        <v>0</v>
      </c>
      <c r="L129">
        <v>60.04</v>
      </c>
      <c r="M129" t="s">
        <v>106</v>
      </c>
      <c r="N129" t="s">
        <v>24</v>
      </c>
      <c r="O129">
        <v>68</v>
      </c>
      <c r="P129">
        <v>12</v>
      </c>
      <c r="Q129" t="s">
        <v>54</v>
      </c>
      <c r="R129" t="s">
        <v>26</v>
      </c>
      <c r="S129">
        <v>0</v>
      </c>
    </row>
    <row r="130" spans="1:19" x14ac:dyDescent="0.45">
      <c r="A130" t="s">
        <v>193</v>
      </c>
      <c r="B130" t="s">
        <v>37</v>
      </c>
      <c r="C130" t="s">
        <v>38</v>
      </c>
      <c r="D130" t="s">
        <v>78</v>
      </c>
      <c r="E130" s="1">
        <v>45559</v>
      </c>
      <c r="F130" s="1">
        <v>45562</v>
      </c>
      <c r="G130">
        <v>67</v>
      </c>
      <c r="H130">
        <v>5.19</v>
      </c>
      <c r="I130">
        <v>7.76</v>
      </c>
      <c r="J130">
        <v>2.52</v>
      </c>
      <c r="K130">
        <v>0</v>
      </c>
      <c r="L130">
        <v>73.06</v>
      </c>
      <c r="M130" t="s">
        <v>30</v>
      </c>
      <c r="N130" t="s">
        <v>24</v>
      </c>
      <c r="O130">
        <v>67</v>
      </c>
      <c r="P130">
        <v>9</v>
      </c>
      <c r="Q130" t="s">
        <v>76</v>
      </c>
      <c r="R130" t="s">
        <v>32</v>
      </c>
      <c r="S130">
        <v>0</v>
      </c>
    </row>
    <row r="131" spans="1:19" x14ac:dyDescent="0.45">
      <c r="A131" t="s">
        <v>194</v>
      </c>
      <c r="B131" t="s">
        <v>37</v>
      </c>
      <c r="C131" t="s">
        <v>42</v>
      </c>
      <c r="D131" t="s">
        <v>50</v>
      </c>
      <c r="E131" s="1">
        <v>45565</v>
      </c>
      <c r="F131" s="1">
        <v>45567</v>
      </c>
      <c r="G131">
        <v>63</v>
      </c>
      <c r="H131">
        <v>5.18</v>
      </c>
      <c r="I131">
        <v>7.6</v>
      </c>
      <c r="J131">
        <v>2.71</v>
      </c>
      <c r="K131">
        <v>0</v>
      </c>
      <c r="L131">
        <v>41.71</v>
      </c>
      <c r="M131" t="s">
        <v>106</v>
      </c>
      <c r="N131" t="s">
        <v>24</v>
      </c>
      <c r="O131">
        <v>63</v>
      </c>
      <c r="P131">
        <v>9</v>
      </c>
      <c r="Q131" t="s">
        <v>76</v>
      </c>
      <c r="R131" t="s">
        <v>32</v>
      </c>
      <c r="S131">
        <v>0</v>
      </c>
    </row>
    <row r="132" spans="1:19" x14ac:dyDescent="0.45">
      <c r="A132" t="s">
        <v>195</v>
      </c>
      <c r="B132" t="s">
        <v>37</v>
      </c>
      <c r="C132" t="s">
        <v>21</v>
      </c>
      <c r="D132" t="s">
        <v>29</v>
      </c>
      <c r="E132" s="1">
        <v>45500.541666666664</v>
      </c>
      <c r="F132" s="1">
        <v>45502.875</v>
      </c>
      <c r="G132">
        <v>56</v>
      </c>
      <c r="H132">
        <v>4.92</v>
      </c>
      <c r="I132">
        <v>8.77</v>
      </c>
      <c r="J132">
        <v>2.58</v>
      </c>
      <c r="K132">
        <v>1</v>
      </c>
      <c r="L132">
        <v>62.94</v>
      </c>
      <c r="M132" t="s">
        <v>75</v>
      </c>
      <c r="N132" t="s">
        <v>109</v>
      </c>
      <c r="O132">
        <v>56</v>
      </c>
      <c r="P132">
        <v>7</v>
      </c>
      <c r="Q132" t="s">
        <v>31</v>
      </c>
      <c r="R132" t="s">
        <v>32</v>
      </c>
      <c r="S132">
        <v>0</v>
      </c>
    </row>
    <row r="133" spans="1:19" x14ac:dyDescent="0.45">
      <c r="A133" t="s">
        <v>196</v>
      </c>
      <c r="B133" t="s">
        <v>20</v>
      </c>
      <c r="C133" t="s">
        <v>21</v>
      </c>
      <c r="D133" t="s">
        <v>43</v>
      </c>
      <c r="E133" s="1">
        <v>45445.708333333336</v>
      </c>
      <c r="F133" s="1">
        <v>45447.291666666664</v>
      </c>
      <c r="G133">
        <v>38</v>
      </c>
      <c r="H133">
        <v>5.44</v>
      </c>
      <c r="I133">
        <v>9.07</v>
      </c>
      <c r="J133">
        <v>2.56</v>
      </c>
      <c r="K133">
        <v>3</v>
      </c>
      <c r="L133">
        <v>5.48</v>
      </c>
      <c r="M133" t="s">
        <v>79</v>
      </c>
      <c r="N133" t="s">
        <v>109</v>
      </c>
      <c r="O133">
        <v>38</v>
      </c>
      <c r="P133">
        <v>6</v>
      </c>
      <c r="Q133" t="s">
        <v>40</v>
      </c>
      <c r="R133" t="s">
        <v>32</v>
      </c>
      <c r="S133">
        <v>0</v>
      </c>
    </row>
    <row r="134" spans="1:19" x14ac:dyDescent="0.45">
      <c r="A134" t="s">
        <v>197</v>
      </c>
      <c r="B134" t="s">
        <v>28</v>
      </c>
      <c r="C134" t="s">
        <v>73</v>
      </c>
      <c r="D134" t="s">
        <v>29</v>
      </c>
      <c r="E134" s="1">
        <v>45444</v>
      </c>
      <c r="F134" s="1">
        <v>45447</v>
      </c>
      <c r="G134">
        <v>65</v>
      </c>
      <c r="H134">
        <v>4.95</v>
      </c>
      <c r="I134">
        <v>7.72</v>
      </c>
      <c r="J134">
        <v>2.68</v>
      </c>
      <c r="K134">
        <v>0</v>
      </c>
      <c r="L134">
        <v>40.33</v>
      </c>
      <c r="M134" t="s">
        <v>44</v>
      </c>
      <c r="N134" t="s">
        <v>24</v>
      </c>
      <c r="O134">
        <v>65</v>
      </c>
      <c r="P134">
        <v>6</v>
      </c>
      <c r="Q134" t="s">
        <v>40</v>
      </c>
      <c r="R134" t="s">
        <v>32</v>
      </c>
      <c r="S134">
        <v>0</v>
      </c>
    </row>
    <row r="135" spans="1:19" x14ac:dyDescent="0.45">
      <c r="A135" t="s">
        <v>198</v>
      </c>
      <c r="B135" t="s">
        <v>37</v>
      </c>
      <c r="C135" t="s">
        <v>38</v>
      </c>
      <c r="D135" t="s">
        <v>78</v>
      </c>
      <c r="E135" s="1">
        <v>45622</v>
      </c>
      <c r="F135" s="1">
        <v>45625</v>
      </c>
      <c r="G135">
        <v>89</v>
      </c>
      <c r="H135">
        <v>5.28</v>
      </c>
      <c r="I135">
        <v>7.7</v>
      </c>
      <c r="J135">
        <v>2.5299999999999998</v>
      </c>
      <c r="K135">
        <v>0</v>
      </c>
      <c r="L135">
        <v>40.74</v>
      </c>
      <c r="M135" t="s">
        <v>57</v>
      </c>
      <c r="N135" t="s">
        <v>24</v>
      </c>
      <c r="O135">
        <v>89</v>
      </c>
      <c r="P135">
        <v>11</v>
      </c>
      <c r="Q135" t="s">
        <v>89</v>
      </c>
      <c r="R135" t="s">
        <v>62</v>
      </c>
      <c r="S135">
        <v>0</v>
      </c>
    </row>
    <row r="136" spans="1:19" x14ac:dyDescent="0.45">
      <c r="A136" t="s">
        <v>199</v>
      </c>
      <c r="B136" t="s">
        <v>48</v>
      </c>
      <c r="C136" t="s">
        <v>82</v>
      </c>
      <c r="D136" t="s">
        <v>56</v>
      </c>
      <c r="E136" s="1">
        <v>45462</v>
      </c>
      <c r="F136" s="1">
        <v>45465</v>
      </c>
      <c r="G136">
        <v>70</v>
      </c>
      <c r="H136">
        <v>5.19</v>
      </c>
      <c r="I136">
        <v>7.78</v>
      </c>
      <c r="J136">
        <v>2.61</v>
      </c>
      <c r="K136">
        <v>0</v>
      </c>
      <c r="L136">
        <v>73.44</v>
      </c>
      <c r="M136" t="s">
        <v>79</v>
      </c>
      <c r="N136" t="s">
        <v>24</v>
      </c>
      <c r="O136">
        <v>70</v>
      </c>
      <c r="P136">
        <v>6</v>
      </c>
      <c r="Q136" t="s">
        <v>40</v>
      </c>
      <c r="R136" t="s">
        <v>32</v>
      </c>
      <c r="S136">
        <v>0</v>
      </c>
    </row>
    <row r="137" spans="1:19" x14ac:dyDescent="0.45">
      <c r="A137" t="s">
        <v>200</v>
      </c>
      <c r="B137" t="s">
        <v>28</v>
      </c>
      <c r="C137" t="s">
        <v>42</v>
      </c>
      <c r="D137" t="s">
        <v>22</v>
      </c>
      <c r="E137" s="1">
        <v>45298.291666666664</v>
      </c>
      <c r="F137" s="1">
        <v>45301.666666666664</v>
      </c>
      <c r="G137">
        <v>81</v>
      </c>
      <c r="H137">
        <v>5.24</v>
      </c>
      <c r="I137">
        <v>7.8</v>
      </c>
      <c r="J137">
        <v>2.5099999999999998</v>
      </c>
      <c r="K137">
        <v>0</v>
      </c>
      <c r="L137">
        <v>5.25</v>
      </c>
      <c r="M137" t="s">
        <v>57</v>
      </c>
      <c r="N137" t="s">
        <v>24</v>
      </c>
      <c r="O137">
        <v>81</v>
      </c>
      <c r="P137">
        <v>1</v>
      </c>
      <c r="Q137" t="s">
        <v>25</v>
      </c>
      <c r="R137" t="s">
        <v>26</v>
      </c>
      <c r="S137">
        <v>0</v>
      </c>
    </row>
    <row r="138" spans="1:19" x14ac:dyDescent="0.45">
      <c r="A138" t="s">
        <v>201</v>
      </c>
      <c r="B138" t="s">
        <v>20</v>
      </c>
      <c r="C138" t="s">
        <v>82</v>
      </c>
      <c r="D138" t="s">
        <v>29</v>
      </c>
      <c r="E138" s="1">
        <v>45637</v>
      </c>
      <c r="F138" s="1">
        <v>45638</v>
      </c>
      <c r="G138">
        <v>29</v>
      </c>
      <c r="H138">
        <v>4.99</v>
      </c>
      <c r="I138">
        <v>7.71</v>
      </c>
      <c r="J138">
        <v>2.6</v>
      </c>
      <c r="K138">
        <v>0</v>
      </c>
      <c r="L138">
        <v>34.11</v>
      </c>
      <c r="M138" t="s">
        <v>57</v>
      </c>
      <c r="N138" t="s">
        <v>24</v>
      </c>
      <c r="O138">
        <v>29</v>
      </c>
      <c r="P138">
        <v>12</v>
      </c>
      <c r="Q138" t="s">
        <v>54</v>
      </c>
      <c r="R138" t="s">
        <v>26</v>
      </c>
      <c r="S138">
        <v>0</v>
      </c>
    </row>
    <row r="139" spans="1:19" x14ac:dyDescent="0.45">
      <c r="A139" t="s">
        <v>202</v>
      </c>
      <c r="B139" t="s">
        <v>48</v>
      </c>
      <c r="C139" t="s">
        <v>21</v>
      </c>
      <c r="D139" t="s">
        <v>56</v>
      </c>
      <c r="E139" s="1">
        <v>45391</v>
      </c>
      <c r="F139" s="1">
        <v>45392</v>
      </c>
      <c r="G139">
        <v>21</v>
      </c>
      <c r="H139">
        <v>5.28</v>
      </c>
      <c r="I139">
        <v>7.54</v>
      </c>
      <c r="J139">
        <v>2.63</v>
      </c>
      <c r="K139">
        <v>0</v>
      </c>
      <c r="L139">
        <v>42.15</v>
      </c>
      <c r="M139" t="s">
        <v>30</v>
      </c>
      <c r="N139" t="s">
        <v>24</v>
      </c>
      <c r="O139">
        <v>21</v>
      </c>
      <c r="P139">
        <v>4</v>
      </c>
      <c r="Q139" t="s">
        <v>69</v>
      </c>
      <c r="R139" t="s">
        <v>46</v>
      </c>
      <c r="S139">
        <v>0</v>
      </c>
    </row>
    <row r="140" spans="1:19" x14ac:dyDescent="0.45">
      <c r="A140" t="s">
        <v>203</v>
      </c>
      <c r="B140" t="s">
        <v>37</v>
      </c>
      <c r="C140" t="s">
        <v>53</v>
      </c>
      <c r="D140" t="s">
        <v>50</v>
      </c>
      <c r="E140" s="1">
        <v>45358.291666666664</v>
      </c>
      <c r="F140" s="1">
        <v>45360.5</v>
      </c>
      <c r="G140">
        <v>53</v>
      </c>
      <c r="H140">
        <v>5.36</v>
      </c>
      <c r="I140">
        <v>7.58</v>
      </c>
      <c r="J140">
        <v>2.62</v>
      </c>
      <c r="K140">
        <v>0</v>
      </c>
      <c r="L140">
        <v>63.09</v>
      </c>
      <c r="M140" t="s">
        <v>79</v>
      </c>
      <c r="N140" t="s">
        <v>24</v>
      </c>
      <c r="O140">
        <v>53</v>
      </c>
      <c r="P140">
        <v>3</v>
      </c>
      <c r="Q140" t="s">
        <v>45</v>
      </c>
      <c r="R140" t="s">
        <v>46</v>
      </c>
      <c r="S140">
        <v>0</v>
      </c>
    </row>
    <row r="141" spans="1:19" x14ac:dyDescent="0.45">
      <c r="A141" t="s">
        <v>204</v>
      </c>
      <c r="B141" t="s">
        <v>20</v>
      </c>
      <c r="C141" t="s">
        <v>34</v>
      </c>
      <c r="D141" t="s">
        <v>78</v>
      </c>
      <c r="E141" s="1">
        <v>45463.75</v>
      </c>
      <c r="F141" s="1">
        <v>45465.5</v>
      </c>
      <c r="G141">
        <v>42</v>
      </c>
      <c r="H141">
        <v>5</v>
      </c>
      <c r="I141">
        <v>7.7</v>
      </c>
      <c r="J141">
        <v>2.59</v>
      </c>
      <c r="K141">
        <v>0</v>
      </c>
      <c r="L141">
        <v>60.46</v>
      </c>
      <c r="M141" t="s">
        <v>30</v>
      </c>
      <c r="N141" t="s">
        <v>24</v>
      </c>
      <c r="O141">
        <v>42</v>
      </c>
      <c r="P141">
        <v>6</v>
      </c>
      <c r="Q141" t="s">
        <v>40</v>
      </c>
      <c r="R141" t="s">
        <v>32</v>
      </c>
      <c r="S141">
        <v>0</v>
      </c>
    </row>
    <row r="142" spans="1:19" x14ac:dyDescent="0.45">
      <c r="A142" t="s">
        <v>205</v>
      </c>
      <c r="B142" t="s">
        <v>28</v>
      </c>
      <c r="C142" t="s">
        <v>38</v>
      </c>
      <c r="D142" t="s">
        <v>29</v>
      </c>
      <c r="E142" s="1">
        <v>45402.166666666664</v>
      </c>
      <c r="F142" s="1">
        <v>45405.166666666664</v>
      </c>
      <c r="G142">
        <v>72</v>
      </c>
      <c r="H142">
        <v>5.37</v>
      </c>
      <c r="I142">
        <v>7.75</v>
      </c>
      <c r="J142">
        <v>2.5</v>
      </c>
      <c r="K142">
        <v>0</v>
      </c>
      <c r="L142">
        <v>35.54</v>
      </c>
      <c r="M142" t="s">
        <v>30</v>
      </c>
      <c r="N142" t="s">
        <v>24</v>
      </c>
      <c r="O142">
        <v>72</v>
      </c>
      <c r="P142">
        <v>4</v>
      </c>
      <c r="Q142" t="s">
        <v>69</v>
      </c>
      <c r="R142" t="s">
        <v>46</v>
      </c>
      <c r="S142">
        <v>0</v>
      </c>
    </row>
    <row r="143" spans="1:19" x14ac:dyDescent="0.45">
      <c r="A143" t="s">
        <v>206</v>
      </c>
      <c r="B143" t="s">
        <v>48</v>
      </c>
      <c r="C143" t="s">
        <v>42</v>
      </c>
      <c r="D143" t="s">
        <v>78</v>
      </c>
      <c r="E143" s="1">
        <v>45403</v>
      </c>
      <c r="F143" s="1">
        <v>45404</v>
      </c>
      <c r="G143">
        <v>21</v>
      </c>
      <c r="H143">
        <v>4.8600000000000003</v>
      </c>
      <c r="I143">
        <v>7.59</v>
      </c>
      <c r="J143">
        <v>2.66</v>
      </c>
      <c r="K143">
        <v>0</v>
      </c>
      <c r="L143">
        <v>72.040000000000006</v>
      </c>
      <c r="M143" t="s">
        <v>43</v>
      </c>
      <c r="N143" t="s">
        <v>24</v>
      </c>
      <c r="O143">
        <v>21</v>
      </c>
      <c r="P143">
        <v>4</v>
      </c>
      <c r="Q143" t="s">
        <v>69</v>
      </c>
      <c r="R143" t="s">
        <v>46</v>
      </c>
      <c r="S143">
        <v>0</v>
      </c>
    </row>
    <row r="144" spans="1:19" x14ac:dyDescent="0.45">
      <c r="A144" t="s">
        <v>207</v>
      </c>
      <c r="B144" t="s">
        <v>28</v>
      </c>
      <c r="C144" t="s">
        <v>53</v>
      </c>
      <c r="D144" t="s">
        <v>22</v>
      </c>
      <c r="E144" s="1">
        <v>45500.583333333336</v>
      </c>
      <c r="F144" s="1">
        <v>45503.416666666664</v>
      </c>
      <c r="G144">
        <v>68</v>
      </c>
      <c r="H144">
        <v>5.2</v>
      </c>
      <c r="I144">
        <v>7.74</v>
      </c>
      <c r="J144">
        <v>2.52</v>
      </c>
      <c r="K144">
        <v>0</v>
      </c>
      <c r="L144">
        <v>45.02</v>
      </c>
      <c r="M144" t="s">
        <v>79</v>
      </c>
      <c r="N144" t="s">
        <v>24</v>
      </c>
      <c r="O144">
        <v>68</v>
      </c>
      <c r="P144">
        <v>7</v>
      </c>
      <c r="Q144" t="s">
        <v>31</v>
      </c>
      <c r="R144" t="s">
        <v>32</v>
      </c>
      <c r="S144">
        <v>0</v>
      </c>
    </row>
    <row r="145" spans="1:19" x14ac:dyDescent="0.45">
      <c r="A145" t="s">
        <v>208</v>
      </c>
      <c r="B145" t="s">
        <v>48</v>
      </c>
      <c r="C145" t="s">
        <v>42</v>
      </c>
      <c r="D145" t="s">
        <v>50</v>
      </c>
      <c r="E145" s="1">
        <v>45558.541666666664</v>
      </c>
      <c r="F145" s="1">
        <v>45559.5</v>
      </c>
      <c r="G145">
        <v>23</v>
      </c>
      <c r="H145">
        <v>4.7</v>
      </c>
      <c r="I145">
        <v>7.71</v>
      </c>
      <c r="J145">
        <v>2.9</v>
      </c>
      <c r="K145">
        <v>0</v>
      </c>
      <c r="L145">
        <v>38.549999999999997</v>
      </c>
      <c r="M145" t="s">
        <v>23</v>
      </c>
      <c r="N145" t="s">
        <v>24</v>
      </c>
      <c r="O145">
        <v>23</v>
      </c>
      <c r="P145">
        <v>9</v>
      </c>
      <c r="Q145" t="s">
        <v>76</v>
      </c>
      <c r="R145" t="s">
        <v>32</v>
      </c>
      <c r="S145">
        <v>0</v>
      </c>
    </row>
    <row r="146" spans="1:19" x14ac:dyDescent="0.45">
      <c r="A146" t="s">
        <v>209</v>
      </c>
      <c r="B146" t="s">
        <v>28</v>
      </c>
      <c r="C146" t="s">
        <v>93</v>
      </c>
      <c r="D146" t="s">
        <v>22</v>
      </c>
      <c r="E146" s="1">
        <v>45324</v>
      </c>
      <c r="F146" s="1">
        <v>45326</v>
      </c>
      <c r="G146">
        <v>49</v>
      </c>
      <c r="H146">
        <v>5.2</v>
      </c>
      <c r="I146">
        <v>7.79</v>
      </c>
      <c r="J146">
        <v>2.6</v>
      </c>
      <c r="K146">
        <v>0</v>
      </c>
      <c r="L146">
        <v>72.31</v>
      </c>
      <c r="M146" t="s">
        <v>30</v>
      </c>
      <c r="N146" t="s">
        <v>24</v>
      </c>
      <c r="O146">
        <v>49</v>
      </c>
      <c r="P146">
        <v>2</v>
      </c>
      <c r="Q146" t="s">
        <v>65</v>
      </c>
      <c r="R146" t="s">
        <v>26</v>
      </c>
      <c r="S146">
        <v>0</v>
      </c>
    </row>
    <row r="147" spans="1:19" x14ac:dyDescent="0.45">
      <c r="A147" t="s">
        <v>210</v>
      </c>
      <c r="B147" t="s">
        <v>37</v>
      </c>
      <c r="C147" t="s">
        <v>42</v>
      </c>
      <c r="D147" t="s">
        <v>29</v>
      </c>
      <c r="E147" s="1">
        <v>45574</v>
      </c>
      <c r="F147" s="1">
        <v>45577</v>
      </c>
      <c r="G147">
        <v>51</v>
      </c>
      <c r="H147">
        <v>5.34</v>
      </c>
      <c r="I147">
        <v>7.67</v>
      </c>
      <c r="J147">
        <v>2.76</v>
      </c>
      <c r="K147">
        <v>0</v>
      </c>
      <c r="L147">
        <v>9.69</v>
      </c>
      <c r="M147" t="s">
        <v>79</v>
      </c>
      <c r="N147" t="s">
        <v>24</v>
      </c>
      <c r="O147">
        <v>51</v>
      </c>
      <c r="P147">
        <v>10</v>
      </c>
      <c r="Q147" t="s">
        <v>61</v>
      </c>
      <c r="R147" t="s">
        <v>62</v>
      </c>
      <c r="S147">
        <v>0</v>
      </c>
    </row>
    <row r="148" spans="1:19" x14ac:dyDescent="0.45">
      <c r="A148" t="s">
        <v>211</v>
      </c>
      <c r="B148" t="s">
        <v>20</v>
      </c>
      <c r="C148" t="s">
        <v>34</v>
      </c>
      <c r="D148" t="s">
        <v>22</v>
      </c>
      <c r="E148" s="1">
        <v>45400.458333333336</v>
      </c>
      <c r="F148" s="1">
        <v>45402.583333333336</v>
      </c>
      <c r="G148">
        <v>51</v>
      </c>
      <c r="H148">
        <v>5.23</v>
      </c>
      <c r="I148">
        <v>7.5</v>
      </c>
      <c r="J148">
        <v>2.5</v>
      </c>
      <c r="K148">
        <v>0</v>
      </c>
      <c r="L148">
        <v>55.74</v>
      </c>
      <c r="M148" t="s">
        <v>57</v>
      </c>
      <c r="N148" t="s">
        <v>24</v>
      </c>
      <c r="O148">
        <v>51</v>
      </c>
      <c r="P148">
        <v>4</v>
      </c>
      <c r="Q148" t="s">
        <v>69</v>
      </c>
      <c r="R148" t="s">
        <v>46</v>
      </c>
      <c r="S148">
        <v>0</v>
      </c>
    </row>
    <row r="149" spans="1:19" x14ac:dyDescent="0.45">
      <c r="A149" t="s">
        <v>212</v>
      </c>
      <c r="B149" t="s">
        <v>52</v>
      </c>
      <c r="C149" t="s">
        <v>53</v>
      </c>
      <c r="D149" t="s">
        <v>29</v>
      </c>
      <c r="E149" s="1">
        <v>45402.166666666664</v>
      </c>
      <c r="F149" s="1">
        <v>45405.666666666664</v>
      </c>
      <c r="G149">
        <v>84</v>
      </c>
      <c r="H149">
        <v>5.1100000000000003</v>
      </c>
      <c r="I149">
        <v>7.74</v>
      </c>
      <c r="J149">
        <v>2.5099999999999998</v>
      </c>
      <c r="K149">
        <v>0</v>
      </c>
      <c r="L149">
        <v>54.31</v>
      </c>
      <c r="M149" t="s">
        <v>30</v>
      </c>
      <c r="N149" t="s">
        <v>24</v>
      </c>
      <c r="O149">
        <v>84</v>
      </c>
      <c r="P149">
        <v>4</v>
      </c>
      <c r="Q149" t="s">
        <v>69</v>
      </c>
      <c r="R149" t="s">
        <v>46</v>
      </c>
      <c r="S149">
        <v>0</v>
      </c>
    </row>
    <row r="150" spans="1:19" x14ac:dyDescent="0.45">
      <c r="A150" t="s">
        <v>213</v>
      </c>
      <c r="B150" t="s">
        <v>48</v>
      </c>
      <c r="C150" t="s">
        <v>21</v>
      </c>
      <c r="D150" t="s">
        <v>50</v>
      </c>
      <c r="E150" s="1">
        <v>45513.583333333336</v>
      </c>
      <c r="F150" s="1">
        <v>45516.041666666664</v>
      </c>
      <c r="G150">
        <v>59</v>
      </c>
      <c r="H150">
        <v>5.56</v>
      </c>
      <c r="I150">
        <v>7.8</v>
      </c>
      <c r="J150">
        <v>2.77</v>
      </c>
      <c r="K150">
        <v>0</v>
      </c>
      <c r="L150">
        <v>55.66</v>
      </c>
      <c r="M150" t="s">
        <v>30</v>
      </c>
      <c r="N150" t="s">
        <v>24</v>
      </c>
      <c r="O150">
        <v>59</v>
      </c>
      <c r="P150">
        <v>8</v>
      </c>
      <c r="Q150" t="s">
        <v>58</v>
      </c>
      <c r="R150" t="s">
        <v>32</v>
      </c>
      <c r="S150">
        <v>0</v>
      </c>
    </row>
    <row r="151" spans="1:19" x14ac:dyDescent="0.45">
      <c r="A151" t="s">
        <v>214</v>
      </c>
      <c r="B151" t="s">
        <v>48</v>
      </c>
      <c r="C151" t="s">
        <v>42</v>
      </c>
      <c r="D151" t="s">
        <v>78</v>
      </c>
      <c r="E151" s="1">
        <v>45473</v>
      </c>
      <c r="F151" s="1">
        <v>45476</v>
      </c>
      <c r="G151">
        <v>64</v>
      </c>
      <c r="H151">
        <v>5.41</v>
      </c>
      <c r="I151">
        <v>7.72</v>
      </c>
      <c r="J151">
        <v>2.72</v>
      </c>
      <c r="K151">
        <v>0</v>
      </c>
      <c r="L151">
        <v>40.03</v>
      </c>
      <c r="M151" t="s">
        <v>35</v>
      </c>
      <c r="N151" t="s">
        <v>24</v>
      </c>
      <c r="O151">
        <v>64</v>
      </c>
      <c r="P151">
        <v>6</v>
      </c>
      <c r="Q151" t="s">
        <v>40</v>
      </c>
      <c r="R151" t="s">
        <v>32</v>
      </c>
      <c r="S151">
        <v>0</v>
      </c>
    </row>
    <row r="152" spans="1:19" x14ac:dyDescent="0.45">
      <c r="A152" t="s">
        <v>215</v>
      </c>
      <c r="B152" t="s">
        <v>48</v>
      </c>
      <c r="C152" t="s">
        <v>53</v>
      </c>
      <c r="D152" t="s">
        <v>29</v>
      </c>
      <c r="E152" s="1">
        <v>45406.916666666664</v>
      </c>
      <c r="F152" s="1">
        <v>45408.875</v>
      </c>
      <c r="G152">
        <v>47</v>
      </c>
      <c r="H152">
        <v>4.91</v>
      </c>
      <c r="I152">
        <v>7.56</v>
      </c>
      <c r="J152">
        <v>2.6</v>
      </c>
      <c r="K152">
        <v>0</v>
      </c>
      <c r="L152">
        <v>31.19</v>
      </c>
      <c r="M152" t="s">
        <v>30</v>
      </c>
      <c r="N152" t="s">
        <v>24</v>
      </c>
      <c r="O152">
        <v>47</v>
      </c>
      <c r="P152">
        <v>4</v>
      </c>
      <c r="Q152" t="s">
        <v>69</v>
      </c>
      <c r="R152" t="s">
        <v>46</v>
      </c>
      <c r="S152">
        <v>0</v>
      </c>
    </row>
    <row r="153" spans="1:19" x14ac:dyDescent="0.45">
      <c r="A153" t="s">
        <v>216</v>
      </c>
      <c r="B153" t="s">
        <v>48</v>
      </c>
      <c r="C153" t="s">
        <v>34</v>
      </c>
      <c r="D153" t="s">
        <v>29</v>
      </c>
      <c r="E153" s="1">
        <v>45494.583333333336</v>
      </c>
      <c r="F153" s="1">
        <v>45497.833333333336</v>
      </c>
      <c r="G153">
        <v>78</v>
      </c>
      <c r="H153">
        <v>5.21</v>
      </c>
      <c r="I153">
        <v>9.23</v>
      </c>
      <c r="J153">
        <v>2.59</v>
      </c>
      <c r="K153">
        <v>4</v>
      </c>
      <c r="L153">
        <v>54.39</v>
      </c>
      <c r="M153" t="s">
        <v>30</v>
      </c>
      <c r="N153" t="s">
        <v>109</v>
      </c>
      <c r="O153">
        <v>78</v>
      </c>
      <c r="P153">
        <v>7</v>
      </c>
      <c r="Q153" t="s">
        <v>31</v>
      </c>
      <c r="R153" t="s">
        <v>32</v>
      </c>
      <c r="S153">
        <v>0</v>
      </c>
    </row>
    <row r="154" spans="1:19" x14ac:dyDescent="0.45">
      <c r="A154" t="s">
        <v>217</v>
      </c>
      <c r="B154" t="s">
        <v>28</v>
      </c>
      <c r="C154" t="s">
        <v>38</v>
      </c>
      <c r="D154" t="s">
        <v>56</v>
      </c>
      <c r="E154" s="1">
        <v>45519.291666666664</v>
      </c>
      <c r="F154" s="1">
        <v>45521.708333333336</v>
      </c>
      <c r="G154">
        <v>58</v>
      </c>
      <c r="H154">
        <v>5.13</v>
      </c>
      <c r="I154">
        <v>7.63</v>
      </c>
      <c r="J154">
        <v>2.52</v>
      </c>
      <c r="K154">
        <v>0</v>
      </c>
      <c r="L154">
        <v>12.45</v>
      </c>
      <c r="M154" t="s">
        <v>23</v>
      </c>
      <c r="N154" t="s">
        <v>24</v>
      </c>
      <c r="O154">
        <v>58</v>
      </c>
      <c r="P154">
        <v>8</v>
      </c>
      <c r="Q154" t="s">
        <v>58</v>
      </c>
      <c r="R154" t="s">
        <v>32</v>
      </c>
      <c r="S154">
        <v>0</v>
      </c>
    </row>
    <row r="155" spans="1:19" x14ac:dyDescent="0.45">
      <c r="A155" t="s">
        <v>218</v>
      </c>
      <c r="B155" t="s">
        <v>37</v>
      </c>
      <c r="C155" t="s">
        <v>42</v>
      </c>
      <c r="D155" t="s">
        <v>22</v>
      </c>
      <c r="E155" s="1">
        <v>45335.583333333336</v>
      </c>
      <c r="F155" s="1">
        <v>45336.541666666664</v>
      </c>
      <c r="G155">
        <v>23</v>
      </c>
      <c r="H155">
        <v>5.34</v>
      </c>
      <c r="I155">
        <v>7.71</v>
      </c>
      <c r="J155">
        <v>2.72</v>
      </c>
      <c r="K155">
        <v>0</v>
      </c>
      <c r="L155">
        <v>63.66</v>
      </c>
      <c r="M155" t="s">
        <v>44</v>
      </c>
      <c r="N155" t="s">
        <v>24</v>
      </c>
      <c r="O155">
        <v>23</v>
      </c>
      <c r="P155">
        <v>2</v>
      </c>
      <c r="Q155" t="s">
        <v>65</v>
      </c>
      <c r="R155" t="s">
        <v>26</v>
      </c>
      <c r="S155">
        <v>0</v>
      </c>
    </row>
    <row r="156" spans="1:19" x14ac:dyDescent="0.45">
      <c r="A156" t="s">
        <v>219</v>
      </c>
      <c r="B156" t="s">
        <v>52</v>
      </c>
      <c r="C156" t="s">
        <v>38</v>
      </c>
      <c r="D156" t="s">
        <v>50</v>
      </c>
      <c r="E156" s="1">
        <v>45324</v>
      </c>
      <c r="F156" s="1">
        <v>45326.541666666664</v>
      </c>
      <c r="G156">
        <v>61</v>
      </c>
      <c r="H156">
        <v>5.15</v>
      </c>
      <c r="I156">
        <v>7.61</v>
      </c>
      <c r="J156">
        <v>2.54</v>
      </c>
      <c r="K156">
        <v>0</v>
      </c>
      <c r="L156">
        <v>12.47</v>
      </c>
      <c r="M156" t="s">
        <v>75</v>
      </c>
      <c r="N156" t="s">
        <v>24</v>
      </c>
      <c r="O156">
        <v>61</v>
      </c>
      <c r="P156">
        <v>2</v>
      </c>
      <c r="Q156" t="s">
        <v>65</v>
      </c>
      <c r="R156" t="s">
        <v>26</v>
      </c>
      <c r="S156">
        <v>0</v>
      </c>
    </row>
    <row r="157" spans="1:19" x14ac:dyDescent="0.45">
      <c r="A157" t="s">
        <v>220</v>
      </c>
      <c r="B157" t="s">
        <v>28</v>
      </c>
      <c r="C157" t="s">
        <v>53</v>
      </c>
      <c r="D157" t="s">
        <v>56</v>
      </c>
      <c r="E157" s="1">
        <v>45459.75</v>
      </c>
      <c r="F157" s="1">
        <v>45461.166666666664</v>
      </c>
      <c r="G157">
        <v>34</v>
      </c>
      <c r="H157">
        <v>5.0199999999999996</v>
      </c>
      <c r="I157">
        <v>7.8</v>
      </c>
      <c r="J157">
        <v>2.69</v>
      </c>
      <c r="K157">
        <v>0</v>
      </c>
      <c r="L157">
        <v>20.14</v>
      </c>
      <c r="M157" t="s">
        <v>35</v>
      </c>
      <c r="N157" t="s">
        <v>24</v>
      </c>
      <c r="O157">
        <v>34</v>
      </c>
      <c r="P157">
        <v>6</v>
      </c>
      <c r="Q157" t="s">
        <v>40</v>
      </c>
      <c r="R157" t="s">
        <v>32</v>
      </c>
      <c r="S157">
        <v>0</v>
      </c>
    </row>
    <row r="158" spans="1:19" x14ac:dyDescent="0.45">
      <c r="A158" t="s">
        <v>221</v>
      </c>
      <c r="B158" t="s">
        <v>28</v>
      </c>
      <c r="C158" t="s">
        <v>42</v>
      </c>
      <c r="D158" t="s">
        <v>22</v>
      </c>
      <c r="E158" s="1">
        <v>45376</v>
      </c>
      <c r="F158" s="1">
        <v>45378</v>
      </c>
      <c r="G158">
        <v>30</v>
      </c>
      <c r="H158">
        <v>5.13</v>
      </c>
      <c r="I158">
        <v>7.6</v>
      </c>
      <c r="J158">
        <v>2.58</v>
      </c>
      <c r="K158">
        <v>0</v>
      </c>
      <c r="L158">
        <v>45.94</v>
      </c>
      <c r="M158" t="s">
        <v>79</v>
      </c>
      <c r="N158" t="s">
        <v>24</v>
      </c>
      <c r="O158">
        <v>30</v>
      </c>
      <c r="P158">
        <v>3</v>
      </c>
      <c r="Q158" t="s">
        <v>45</v>
      </c>
      <c r="R158" t="s">
        <v>46</v>
      </c>
      <c r="S158">
        <v>0</v>
      </c>
    </row>
    <row r="159" spans="1:19" x14ac:dyDescent="0.45">
      <c r="A159" t="s">
        <v>222</v>
      </c>
      <c r="B159" t="s">
        <v>48</v>
      </c>
      <c r="C159" t="s">
        <v>34</v>
      </c>
      <c r="D159" t="s">
        <v>29</v>
      </c>
      <c r="E159" s="1">
        <v>45628</v>
      </c>
      <c r="F159" s="1">
        <v>45630</v>
      </c>
      <c r="G159">
        <v>54</v>
      </c>
      <c r="H159">
        <v>5.36</v>
      </c>
      <c r="I159">
        <v>7.69</v>
      </c>
      <c r="J159">
        <v>2.69</v>
      </c>
      <c r="K159">
        <v>0</v>
      </c>
      <c r="L159">
        <v>51</v>
      </c>
      <c r="M159" t="s">
        <v>79</v>
      </c>
      <c r="N159" t="s">
        <v>24</v>
      </c>
      <c r="O159">
        <v>54</v>
      </c>
      <c r="P159">
        <v>12</v>
      </c>
      <c r="Q159" t="s">
        <v>54</v>
      </c>
      <c r="R159" t="s">
        <v>26</v>
      </c>
      <c r="S159">
        <v>0</v>
      </c>
    </row>
    <row r="160" spans="1:19" x14ac:dyDescent="0.45">
      <c r="A160" t="s">
        <v>223</v>
      </c>
      <c r="B160" t="s">
        <v>20</v>
      </c>
      <c r="C160" t="s">
        <v>73</v>
      </c>
      <c r="D160" t="s">
        <v>78</v>
      </c>
      <c r="E160" s="1">
        <v>45648</v>
      </c>
      <c r="F160" s="1">
        <v>45648.625</v>
      </c>
      <c r="G160">
        <v>15</v>
      </c>
      <c r="H160">
        <v>5.33</v>
      </c>
      <c r="I160">
        <v>7.69</v>
      </c>
      <c r="J160">
        <v>2.68</v>
      </c>
      <c r="K160">
        <v>0</v>
      </c>
      <c r="L160">
        <v>60.35</v>
      </c>
      <c r="M160" t="s">
        <v>79</v>
      </c>
      <c r="N160" t="s">
        <v>24</v>
      </c>
      <c r="O160">
        <v>15</v>
      </c>
      <c r="P160">
        <v>12</v>
      </c>
      <c r="Q160" t="s">
        <v>54</v>
      </c>
      <c r="R160" t="s">
        <v>26</v>
      </c>
      <c r="S160">
        <v>0</v>
      </c>
    </row>
    <row r="161" spans="1:19" x14ac:dyDescent="0.45">
      <c r="A161" t="s">
        <v>224</v>
      </c>
      <c r="B161" t="s">
        <v>20</v>
      </c>
      <c r="C161" t="s">
        <v>34</v>
      </c>
      <c r="D161" t="s">
        <v>22</v>
      </c>
      <c r="E161" s="1">
        <v>45456</v>
      </c>
      <c r="F161" s="1">
        <v>45457</v>
      </c>
      <c r="G161">
        <v>16</v>
      </c>
      <c r="H161">
        <v>5.2</v>
      </c>
      <c r="I161">
        <v>7.74</v>
      </c>
      <c r="J161">
        <v>2.89</v>
      </c>
      <c r="K161">
        <v>0</v>
      </c>
      <c r="L161">
        <v>15.76</v>
      </c>
      <c r="M161" t="s">
        <v>79</v>
      </c>
      <c r="N161" t="s">
        <v>24</v>
      </c>
      <c r="O161">
        <v>16</v>
      </c>
      <c r="P161">
        <v>6</v>
      </c>
      <c r="Q161" t="s">
        <v>40</v>
      </c>
      <c r="R161" t="s">
        <v>32</v>
      </c>
      <c r="S161">
        <v>0</v>
      </c>
    </row>
    <row r="162" spans="1:19" x14ac:dyDescent="0.45">
      <c r="A162" t="s">
        <v>225</v>
      </c>
      <c r="B162" t="s">
        <v>28</v>
      </c>
      <c r="C162" t="s">
        <v>82</v>
      </c>
      <c r="D162" t="s">
        <v>78</v>
      </c>
      <c r="E162" s="1">
        <v>45325.125</v>
      </c>
      <c r="F162" s="1">
        <v>45328.25</v>
      </c>
      <c r="G162">
        <v>75</v>
      </c>
      <c r="H162">
        <v>4.9400000000000004</v>
      </c>
      <c r="I162">
        <v>7.69</v>
      </c>
      <c r="J162">
        <v>2.61</v>
      </c>
      <c r="K162">
        <v>0</v>
      </c>
      <c r="L162">
        <v>11.99</v>
      </c>
      <c r="M162" t="s">
        <v>35</v>
      </c>
      <c r="N162" t="s">
        <v>24</v>
      </c>
      <c r="O162">
        <v>75</v>
      </c>
      <c r="P162">
        <v>2</v>
      </c>
      <c r="Q162" t="s">
        <v>65</v>
      </c>
      <c r="R162" t="s">
        <v>26</v>
      </c>
      <c r="S162">
        <v>0</v>
      </c>
    </row>
    <row r="163" spans="1:19" x14ac:dyDescent="0.45">
      <c r="A163" t="s">
        <v>226</v>
      </c>
      <c r="B163" t="s">
        <v>20</v>
      </c>
      <c r="C163" t="s">
        <v>38</v>
      </c>
      <c r="D163" t="s">
        <v>78</v>
      </c>
      <c r="E163" s="1">
        <v>45641.458333333336</v>
      </c>
      <c r="F163" s="1">
        <v>45645.125</v>
      </c>
      <c r="G163">
        <v>88</v>
      </c>
      <c r="H163">
        <v>5.05</v>
      </c>
      <c r="I163">
        <v>7.8</v>
      </c>
      <c r="J163">
        <v>2.67</v>
      </c>
      <c r="K163">
        <v>0</v>
      </c>
      <c r="L163">
        <v>12.46</v>
      </c>
      <c r="M163" t="s">
        <v>106</v>
      </c>
      <c r="N163" t="s">
        <v>24</v>
      </c>
      <c r="O163">
        <v>88</v>
      </c>
      <c r="P163">
        <v>12</v>
      </c>
      <c r="Q163" t="s">
        <v>54</v>
      </c>
      <c r="R163" t="s">
        <v>26</v>
      </c>
      <c r="S163">
        <v>0</v>
      </c>
    </row>
    <row r="164" spans="1:19" x14ac:dyDescent="0.45">
      <c r="A164" t="s">
        <v>227</v>
      </c>
      <c r="B164" t="s">
        <v>37</v>
      </c>
      <c r="C164" t="s">
        <v>73</v>
      </c>
      <c r="D164" t="s">
        <v>78</v>
      </c>
      <c r="E164" s="1">
        <v>45297</v>
      </c>
      <c r="F164" s="1">
        <v>45300</v>
      </c>
      <c r="G164">
        <v>69</v>
      </c>
      <c r="H164">
        <v>5.96</v>
      </c>
      <c r="I164">
        <v>12.31</v>
      </c>
      <c r="J164">
        <v>2.5499999999999998</v>
      </c>
      <c r="K164">
        <v>11</v>
      </c>
      <c r="L164">
        <v>69.78</v>
      </c>
      <c r="M164" t="s">
        <v>106</v>
      </c>
      <c r="N164" t="s">
        <v>39</v>
      </c>
      <c r="O164">
        <v>69</v>
      </c>
      <c r="P164">
        <v>1</v>
      </c>
      <c r="Q164" t="s">
        <v>25</v>
      </c>
      <c r="R164" t="s">
        <v>26</v>
      </c>
      <c r="S164">
        <v>69.78</v>
      </c>
    </row>
    <row r="165" spans="1:19" x14ac:dyDescent="0.45">
      <c r="A165" t="s">
        <v>228</v>
      </c>
      <c r="B165" t="s">
        <v>37</v>
      </c>
      <c r="C165" t="s">
        <v>73</v>
      </c>
      <c r="D165" t="s">
        <v>50</v>
      </c>
      <c r="E165" s="1">
        <v>45430.25</v>
      </c>
      <c r="F165" s="1">
        <v>45430.875</v>
      </c>
      <c r="G165">
        <v>15</v>
      </c>
      <c r="H165">
        <v>5.57</v>
      </c>
      <c r="I165">
        <v>7.26</v>
      </c>
      <c r="J165">
        <v>2.6</v>
      </c>
      <c r="K165">
        <v>0</v>
      </c>
      <c r="L165">
        <v>72.38</v>
      </c>
      <c r="M165" t="s">
        <v>106</v>
      </c>
      <c r="N165" t="s">
        <v>24</v>
      </c>
      <c r="O165">
        <v>15</v>
      </c>
      <c r="P165">
        <v>5</v>
      </c>
      <c r="Q165" t="s">
        <v>67</v>
      </c>
      <c r="R165" t="s">
        <v>46</v>
      </c>
      <c r="S165">
        <v>0</v>
      </c>
    </row>
    <row r="166" spans="1:19" x14ac:dyDescent="0.45">
      <c r="A166" t="s">
        <v>229</v>
      </c>
      <c r="B166" t="s">
        <v>48</v>
      </c>
      <c r="C166" t="s">
        <v>82</v>
      </c>
      <c r="D166" t="s">
        <v>29</v>
      </c>
      <c r="E166" s="1">
        <v>45322</v>
      </c>
      <c r="F166" s="1">
        <v>45322.5</v>
      </c>
      <c r="G166">
        <v>12</v>
      </c>
      <c r="H166">
        <v>4.84</v>
      </c>
      <c r="I166">
        <v>7.5</v>
      </c>
      <c r="J166">
        <v>2.8</v>
      </c>
      <c r="K166">
        <v>0</v>
      </c>
      <c r="L166">
        <v>47.56</v>
      </c>
      <c r="M166" t="s">
        <v>44</v>
      </c>
      <c r="N166" t="s">
        <v>24</v>
      </c>
      <c r="O166">
        <v>12</v>
      </c>
      <c r="P166">
        <v>1</v>
      </c>
      <c r="Q166" t="s">
        <v>25</v>
      </c>
      <c r="R166" t="s">
        <v>26</v>
      </c>
      <c r="S166">
        <v>0</v>
      </c>
    </row>
    <row r="167" spans="1:19" x14ac:dyDescent="0.45">
      <c r="A167" t="s">
        <v>230</v>
      </c>
      <c r="B167" t="s">
        <v>48</v>
      </c>
      <c r="C167" t="s">
        <v>42</v>
      </c>
      <c r="D167" t="s">
        <v>29</v>
      </c>
      <c r="E167" s="1">
        <v>45600</v>
      </c>
      <c r="F167" s="1">
        <v>45603</v>
      </c>
      <c r="G167">
        <v>82</v>
      </c>
      <c r="H167">
        <v>5.24</v>
      </c>
      <c r="I167">
        <v>7.76</v>
      </c>
      <c r="J167">
        <v>2.5099999999999998</v>
      </c>
      <c r="K167">
        <v>0</v>
      </c>
      <c r="L167">
        <v>16.14</v>
      </c>
      <c r="M167" t="s">
        <v>44</v>
      </c>
      <c r="N167" t="s">
        <v>24</v>
      </c>
      <c r="O167">
        <v>82</v>
      </c>
      <c r="P167">
        <v>11</v>
      </c>
      <c r="Q167" t="s">
        <v>89</v>
      </c>
      <c r="R167" t="s">
        <v>62</v>
      </c>
      <c r="S167">
        <v>0</v>
      </c>
    </row>
    <row r="168" spans="1:19" x14ac:dyDescent="0.45">
      <c r="A168" t="s">
        <v>231</v>
      </c>
      <c r="B168" t="s">
        <v>52</v>
      </c>
      <c r="C168" t="s">
        <v>82</v>
      </c>
      <c r="D168" t="s">
        <v>50</v>
      </c>
      <c r="E168" s="1">
        <v>45469.291666666664</v>
      </c>
      <c r="F168" s="1">
        <v>45472.375</v>
      </c>
      <c r="G168">
        <v>74</v>
      </c>
      <c r="H168">
        <v>5.34</v>
      </c>
      <c r="I168">
        <v>7.75</v>
      </c>
      <c r="J168">
        <v>2.5499999999999998</v>
      </c>
      <c r="K168">
        <v>0</v>
      </c>
      <c r="L168">
        <v>52.47</v>
      </c>
      <c r="M168" t="s">
        <v>23</v>
      </c>
      <c r="N168" t="s">
        <v>24</v>
      </c>
      <c r="O168">
        <v>74</v>
      </c>
      <c r="P168">
        <v>6</v>
      </c>
      <c r="Q168" t="s">
        <v>40</v>
      </c>
      <c r="R168" t="s">
        <v>32</v>
      </c>
      <c r="S168">
        <v>0</v>
      </c>
    </row>
    <row r="169" spans="1:19" x14ac:dyDescent="0.45">
      <c r="A169" t="s">
        <v>232</v>
      </c>
      <c r="B169" t="s">
        <v>28</v>
      </c>
      <c r="C169" t="s">
        <v>93</v>
      </c>
      <c r="D169" t="s">
        <v>56</v>
      </c>
      <c r="E169" s="1">
        <v>45502.541666666664</v>
      </c>
      <c r="F169" s="1">
        <v>45503.208333333336</v>
      </c>
      <c r="G169">
        <v>16</v>
      </c>
      <c r="H169">
        <v>9.3699999999999992</v>
      </c>
      <c r="I169">
        <v>12.09</v>
      </c>
      <c r="J169">
        <v>3.62</v>
      </c>
      <c r="K169">
        <v>11</v>
      </c>
      <c r="L169">
        <v>30.31</v>
      </c>
      <c r="M169" t="s">
        <v>43</v>
      </c>
      <c r="N169" t="s">
        <v>39</v>
      </c>
      <c r="O169">
        <v>16</v>
      </c>
      <c r="P169">
        <v>7</v>
      </c>
      <c r="Q169" t="s">
        <v>31</v>
      </c>
      <c r="R169" t="s">
        <v>32</v>
      </c>
      <c r="S169">
        <v>30.31</v>
      </c>
    </row>
    <row r="170" spans="1:19" x14ac:dyDescent="0.45">
      <c r="A170" t="s">
        <v>233</v>
      </c>
      <c r="B170" t="s">
        <v>28</v>
      </c>
      <c r="C170" t="s">
        <v>21</v>
      </c>
      <c r="D170" t="s">
        <v>43</v>
      </c>
      <c r="E170" s="1">
        <v>45471</v>
      </c>
      <c r="F170" s="1">
        <v>45473</v>
      </c>
      <c r="G170">
        <v>31</v>
      </c>
      <c r="H170">
        <v>5.31</v>
      </c>
      <c r="I170">
        <v>7.75</v>
      </c>
      <c r="J170">
        <v>2.58</v>
      </c>
      <c r="K170">
        <v>0</v>
      </c>
      <c r="L170">
        <v>43.86</v>
      </c>
      <c r="M170" t="s">
        <v>44</v>
      </c>
      <c r="N170" t="s">
        <v>24</v>
      </c>
      <c r="O170">
        <v>31</v>
      </c>
      <c r="P170">
        <v>6</v>
      </c>
      <c r="Q170" t="s">
        <v>40</v>
      </c>
      <c r="R170" t="s">
        <v>32</v>
      </c>
      <c r="S170">
        <v>0</v>
      </c>
    </row>
    <row r="171" spans="1:19" x14ac:dyDescent="0.45">
      <c r="A171" t="s">
        <v>234</v>
      </c>
      <c r="B171" t="s">
        <v>28</v>
      </c>
      <c r="C171" t="s">
        <v>21</v>
      </c>
      <c r="D171" t="s">
        <v>78</v>
      </c>
      <c r="E171" s="1">
        <v>45559</v>
      </c>
      <c r="F171" s="1">
        <v>45563</v>
      </c>
      <c r="G171">
        <v>93</v>
      </c>
      <c r="H171">
        <v>5.03</v>
      </c>
      <c r="I171">
        <v>7.75</v>
      </c>
      <c r="J171">
        <v>2.5499999999999998</v>
      </c>
      <c r="K171">
        <v>0</v>
      </c>
      <c r="L171">
        <v>35.83</v>
      </c>
      <c r="M171" t="s">
        <v>44</v>
      </c>
      <c r="N171" t="s">
        <v>24</v>
      </c>
      <c r="O171">
        <v>93</v>
      </c>
      <c r="P171">
        <v>9</v>
      </c>
      <c r="Q171" t="s">
        <v>76</v>
      </c>
      <c r="R171" t="s">
        <v>32</v>
      </c>
      <c r="S171">
        <v>0</v>
      </c>
    </row>
    <row r="172" spans="1:19" x14ac:dyDescent="0.45">
      <c r="A172" t="s">
        <v>235</v>
      </c>
      <c r="B172" t="s">
        <v>20</v>
      </c>
      <c r="C172" t="s">
        <v>42</v>
      </c>
      <c r="D172" t="s">
        <v>50</v>
      </c>
      <c r="E172" s="1">
        <v>45628</v>
      </c>
      <c r="F172" s="1">
        <v>45630</v>
      </c>
      <c r="G172">
        <v>53</v>
      </c>
      <c r="H172">
        <v>5.19</v>
      </c>
      <c r="I172">
        <v>7.65</v>
      </c>
      <c r="J172">
        <v>2.5499999999999998</v>
      </c>
      <c r="K172">
        <v>0</v>
      </c>
      <c r="L172">
        <v>11.14</v>
      </c>
      <c r="M172" t="s">
        <v>75</v>
      </c>
      <c r="N172" t="s">
        <v>24</v>
      </c>
      <c r="O172">
        <v>53</v>
      </c>
      <c r="P172">
        <v>12</v>
      </c>
      <c r="Q172" t="s">
        <v>54</v>
      </c>
      <c r="R172" t="s">
        <v>26</v>
      </c>
      <c r="S172">
        <v>0</v>
      </c>
    </row>
    <row r="173" spans="1:19" x14ac:dyDescent="0.45">
      <c r="A173" t="s">
        <v>236</v>
      </c>
      <c r="B173" t="s">
        <v>37</v>
      </c>
      <c r="C173" t="s">
        <v>73</v>
      </c>
      <c r="D173" t="s">
        <v>56</v>
      </c>
      <c r="E173" s="1">
        <v>45566</v>
      </c>
      <c r="F173" s="1">
        <v>45569</v>
      </c>
      <c r="G173">
        <v>70</v>
      </c>
      <c r="H173">
        <v>5.3</v>
      </c>
      <c r="I173">
        <v>7.76</v>
      </c>
      <c r="J173">
        <v>2.65</v>
      </c>
      <c r="K173">
        <v>0</v>
      </c>
      <c r="L173">
        <v>39.630000000000003</v>
      </c>
      <c r="M173" t="s">
        <v>57</v>
      </c>
      <c r="N173" t="s">
        <v>24</v>
      </c>
      <c r="O173">
        <v>70</v>
      </c>
      <c r="P173">
        <v>10</v>
      </c>
      <c r="Q173" t="s">
        <v>61</v>
      </c>
      <c r="R173" t="s">
        <v>62</v>
      </c>
      <c r="S173">
        <v>0</v>
      </c>
    </row>
    <row r="174" spans="1:19" x14ac:dyDescent="0.45">
      <c r="A174" t="s">
        <v>237</v>
      </c>
      <c r="B174" t="s">
        <v>20</v>
      </c>
      <c r="C174" t="s">
        <v>34</v>
      </c>
      <c r="D174" t="s">
        <v>29</v>
      </c>
      <c r="E174" s="1">
        <v>45630.833333333336</v>
      </c>
      <c r="F174" s="1">
        <v>45632.125</v>
      </c>
      <c r="G174">
        <v>31</v>
      </c>
      <c r="H174">
        <v>8.33</v>
      </c>
      <c r="I174">
        <v>12.32</v>
      </c>
      <c r="J174">
        <v>2.95</v>
      </c>
      <c r="K174">
        <v>15</v>
      </c>
      <c r="L174">
        <v>72.69</v>
      </c>
      <c r="M174" t="s">
        <v>44</v>
      </c>
      <c r="N174" t="s">
        <v>39</v>
      </c>
      <c r="O174">
        <v>31</v>
      </c>
      <c r="P174">
        <v>12</v>
      </c>
      <c r="Q174" t="s">
        <v>54</v>
      </c>
      <c r="R174" t="s">
        <v>26</v>
      </c>
      <c r="S174">
        <v>72.69</v>
      </c>
    </row>
    <row r="175" spans="1:19" x14ac:dyDescent="0.45">
      <c r="A175" t="s">
        <v>238</v>
      </c>
      <c r="B175" t="s">
        <v>28</v>
      </c>
      <c r="C175" t="s">
        <v>21</v>
      </c>
      <c r="D175" t="s">
        <v>22</v>
      </c>
      <c r="E175" s="1">
        <v>45462</v>
      </c>
      <c r="F175" s="1">
        <v>45465</v>
      </c>
      <c r="G175">
        <v>62</v>
      </c>
      <c r="H175">
        <v>5.19</v>
      </c>
      <c r="I175">
        <v>12.11</v>
      </c>
      <c r="J175">
        <v>2.66</v>
      </c>
      <c r="K175">
        <v>10</v>
      </c>
      <c r="L175">
        <v>60.83</v>
      </c>
      <c r="M175" t="s">
        <v>57</v>
      </c>
      <c r="N175" t="s">
        <v>39</v>
      </c>
      <c r="O175">
        <v>62</v>
      </c>
      <c r="P175">
        <v>6</v>
      </c>
      <c r="Q175" t="s">
        <v>40</v>
      </c>
      <c r="R175" t="s">
        <v>32</v>
      </c>
      <c r="S175">
        <v>60.83</v>
      </c>
    </row>
    <row r="176" spans="1:19" x14ac:dyDescent="0.45">
      <c r="A176" t="s">
        <v>239</v>
      </c>
      <c r="B176" t="s">
        <v>52</v>
      </c>
      <c r="C176" t="s">
        <v>34</v>
      </c>
      <c r="D176" t="s">
        <v>29</v>
      </c>
      <c r="E176" s="1">
        <v>45494.25</v>
      </c>
      <c r="F176" s="1">
        <v>45494.75</v>
      </c>
      <c r="G176">
        <v>12</v>
      </c>
      <c r="H176">
        <v>5.31</v>
      </c>
      <c r="I176">
        <v>7.29</v>
      </c>
      <c r="J176">
        <v>3.2</v>
      </c>
      <c r="K176">
        <v>0</v>
      </c>
      <c r="L176">
        <v>56.16</v>
      </c>
      <c r="M176" t="s">
        <v>44</v>
      </c>
      <c r="N176" t="s">
        <v>24</v>
      </c>
      <c r="O176">
        <v>12</v>
      </c>
      <c r="P176">
        <v>7</v>
      </c>
      <c r="Q176" t="s">
        <v>31</v>
      </c>
      <c r="R176" t="s">
        <v>32</v>
      </c>
      <c r="S176">
        <v>0</v>
      </c>
    </row>
    <row r="177" spans="1:19" x14ac:dyDescent="0.45">
      <c r="A177" t="s">
        <v>240</v>
      </c>
      <c r="B177" t="s">
        <v>28</v>
      </c>
      <c r="C177" t="s">
        <v>42</v>
      </c>
      <c r="D177" t="s">
        <v>78</v>
      </c>
      <c r="E177" s="1">
        <v>45560.208333333336</v>
      </c>
      <c r="F177" s="1">
        <v>45564.166666666664</v>
      </c>
      <c r="G177">
        <v>95</v>
      </c>
      <c r="H177">
        <v>6.17</v>
      </c>
      <c r="I177">
        <v>7.75</v>
      </c>
      <c r="J177">
        <v>2.75</v>
      </c>
      <c r="K177">
        <v>15</v>
      </c>
      <c r="L177">
        <v>50.32</v>
      </c>
      <c r="M177" t="s">
        <v>23</v>
      </c>
      <c r="N177" t="s">
        <v>39</v>
      </c>
      <c r="O177">
        <v>95</v>
      </c>
      <c r="P177">
        <v>9</v>
      </c>
      <c r="Q177" t="s">
        <v>76</v>
      </c>
      <c r="R177" t="s">
        <v>32</v>
      </c>
      <c r="S177">
        <v>50.32</v>
      </c>
    </row>
    <row r="178" spans="1:19" x14ac:dyDescent="0.45">
      <c r="A178" t="s">
        <v>241</v>
      </c>
      <c r="B178" t="s">
        <v>20</v>
      </c>
      <c r="C178" t="s">
        <v>38</v>
      </c>
      <c r="D178" t="s">
        <v>78</v>
      </c>
      <c r="E178" s="1">
        <v>45637</v>
      </c>
      <c r="F178" s="1">
        <v>45641</v>
      </c>
      <c r="G178">
        <v>93</v>
      </c>
      <c r="H178">
        <v>5.61</v>
      </c>
      <c r="I178">
        <v>12.42</v>
      </c>
      <c r="J178">
        <v>2.5</v>
      </c>
      <c r="K178">
        <v>6</v>
      </c>
      <c r="L178">
        <v>58.49</v>
      </c>
      <c r="M178" t="s">
        <v>44</v>
      </c>
      <c r="N178" t="s">
        <v>39</v>
      </c>
      <c r="O178">
        <v>93</v>
      </c>
      <c r="P178">
        <v>12</v>
      </c>
      <c r="Q178" t="s">
        <v>54</v>
      </c>
      <c r="R178" t="s">
        <v>26</v>
      </c>
      <c r="S178">
        <v>58.49</v>
      </c>
    </row>
    <row r="179" spans="1:19" x14ac:dyDescent="0.45">
      <c r="A179" t="s">
        <v>242</v>
      </c>
      <c r="B179" t="s">
        <v>52</v>
      </c>
      <c r="C179" t="s">
        <v>73</v>
      </c>
      <c r="D179" t="s">
        <v>56</v>
      </c>
      <c r="E179" s="1">
        <v>45594.708333333336</v>
      </c>
      <c r="F179" s="1">
        <v>45595.541666666664</v>
      </c>
      <c r="G179">
        <v>20</v>
      </c>
      <c r="H179">
        <v>5.18</v>
      </c>
      <c r="I179">
        <v>7.32</v>
      </c>
      <c r="J179">
        <v>2.8</v>
      </c>
      <c r="K179">
        <v>0</v>
      </c>
      <c r="L179">
        <v>44.44</v>
      </c>
      <c r="M179" t="s">
        <v>57</v>
      </c>
      <c r="N179" t="s">
        <v>24</v>
      </c>
      <c r="O179">
        <v>20</v>
      </c>
      <c r="P179">
        <v>10</v>
      </c>
      <c r="Q179" t="s">
        <v>61</v>
      </c>
      <c r="R179" t="s">
        <v>62</v>
      </c>
      <c r="S179">
        <v>0</v>
      </c>
    </row>
    <row r="180" spans="1:19" x14ac:dyDescent="0.45">
      <c r="A180" t="s">
        <v>243</v>
      </c>
      <c r="B180" t="s">
        <v>48</v>
      </c>
      <c r="C180" t="s">
        <v>42</v>
      </c>
      <c r="D180" t="s">
        <v>78</v>
      </c>
      <c r="E180" s="1">
        <v>45463.583333333336</v>
      </c>
      <c r="F180" s="1">
        <v>45466.666666666664</v>
      </c>
      <c r="G180">
        <v>74</v>
      </c>
      <c r="H180">
        <v>5.3</v>
      </c>
      <c r="I180">
        <v>7.69</v>
      </c>
      <c r="J180">
        <v>2.5499999999999998</v>
      </c>
      <c r="K180">
        <v>0</v>
      </c>
      <c r="L180">
        <v>60.11</v>
      </c>
      <c r="M180" t="s">
        <v>44</v>
      </c>
      <c r="N180" t="s">
        <v>24</v>
      </c>
      <c r="O180">
        <v>74</v>
      </c>
      <c r="P180">
        <v>6</v>
      </c>
      <c r="Q180" t="s">
        <v>40</v>
      </c>
      <c r="R180" t="s">
        <v>32</v>
      </c>
      <c r="S180">
        <v>0</v>
      </c>
    </row>
    <row r="181" spans="1:19" x14ac:dyDescent="0.45">
      <c r="A181" t="s">
        <v>244</v>
      </c>
      <c r="B181" t="s">
        <v>52</v>
      </c>
      <c r="C181" t="s">
        <v>38</v>
      </c>
      <c r="D181" t="s">
        <v>50</v>
      </c>
      <c r="E181" s="1">
        <v>45438.208333333336</v>
      </c>
      <c r="F181" s="1">
        <v>45438.708333333336</v>
      </c>
      <c r="G181">
        <v>12</v>
      </c>
      <c r="H181">
        <v>4.96</v>
      </c>
      <c r="I181">
        <v>7.78</v>
      </c>
      <c r="J181">
        <v>3</v>
      </c>
      <c r="K181">
        <v>0</v>
      </c>
      <c r="L181">
        <v>7.13</v>
      </c>
      <c r="M181" t="s">
        <v>35</v>
      </c>
      <c r="N181" t="s">
        <v>24</v>
      </c>
      <c r="O181">
        <v>12</v>
      </c>
      <c r="P181">
        <v>5</v>
      </c>
      <c r="Q181" t="s">
        <v>67</v>
      </c>
      <c r="R181" t="s">
        <v>46</v>
      </c>
      <c r="S181">
        <v>0</v>
      </c>
    </row>
    <row r="182" spans="1:19" x14ac:dyDescent="0.45">
      <c r="A182" t="s">
        <v>245</v>
      </c>
      <c r="B182" t="s">
        <v>52</v>
      </c>
      <c r="C182" t="s">
        <v>82</v>
      </c>
      <c r="D182" t="s">
        <v>29</v>
      </c>
      <c r="E182" s="1">
        <v>45586</v>
      </c>
      <c r="F182" s="1">
        <v>45589</v>
      </c>
      <c r="G182">
        <v>67</v>
      </c>
      <c r="H182">
        <v>5.14</v>
      </c>
      <c r="I182">
        <v>7.7</v>
      </c>
      <c r="J182">
        <v>2.6</v>
      </c>
      <c r="K182">
        <v>0</v>
      </c>
      <c r="L182">
        <v>64.98</v>
      </c>
      <c r="M182" t="s">
        <v>75</v>
      </c>
      <c r="N182" t="s">
        <v>24</v>
      </c>
      <c r="O182">
        <v>67</v>
      </c>
      <c r="P182">
        <v>10</v>
      </c>
      <c r="Q182" t="s">
        <v>61</v>
      </c>
      <c r="R182" t="s">
        <v>62</v>
      </c>
      <c r="S182">
        <v>0</v>
      </c>
    </row>
    <row r="183" spans="1:19" x14ac:dyDescent="0.45">
      <c r="A183" t="s">
        <v>246</v>
      </c>
      <c r="B183" t="s">
        <v>20</v>
      </c>
      <c r="C183" t="s">
        <v>38</v>
      </c>
      <c r="D183" t="s">
        <v>78</v>
      </c>
      <c r="E183" s="1">
        <v>45618</v>
      </c>
      <c r="F183" s="1">
        <v>45620</v>
      </c>
      <c r="G183">
        <v>43</v>
      </c>
      <c r="H183">
        <v>5.2</v>
      </c>
      <c r="I183">
        <v>7.79</v>
      </c>
      <c r="J183">
        <v>3.07</v>
      </c>
      <c r="K183">
        <v>0</v>
      </c>
      <c r="L183">
        <v>28.4</v>
      </c>
      <c r="M183" t="s">
        <v>44</v>
      </c>
      <c r="N183" t="s">
        <v>24</v>
      </c>
      <c r="O183">
        <v>43</v>
      </c>
      <c r="P183">
        <v>11</v>
      </c>
      <c r="Q183" t="s">
        <v>89</v>
      </c>
      <c r="R183" t="s">
        <v>62</v>
      </c>
      <c r="S183">
        <v>0</v>
      </c>
    </row>
    <row r="184" spans="1:19" x14ac:dyDescent="0.45">
      <c r="A184" t="s">
        <v>247</v>
      </c>
      <c r="B184" t="s">
        <v>48</v>
      </c>
      <c r="C184" t="s">
        <v>82</v>
      </c>
      <c r="D184" t="s">
        <v>78</v>
      </c>
      <c r="E184" s="1">
        <v>45530</v>
      </c>
      <c r="F184" s="1">
        <v>45533</v>
      </c>
      <c r="G184">
        <v>92</v>
      </c>
      <c r="H184">
        <v>5.17</v>
      </c>
      <c r="I184">
        <v>7.8</v>
      </c>
      <c r="J184">
        <v>2.64</v>
      </c>
      <c r="K184">
        <v>0</v>
      </c>
      <c r="L184">
        <v>15.77</v>
      </c>
      <c r="M184" t="s">
        <v>75</v>
      </c>
      <c r="N184" t="s">
        <v>24</v>
      </c>
      <c r="O184">
        <v>92</v>
      </c>
      <c r="P184">
        <v>8</v>
      </c>
      <c r="Q184" t="s">
        <v>58</v>
      </c>
      <c r="R184" t="s">
        <v>32</v>
      </c>
      <c r="S184">
        <v>0</v>
      </c>
    </row>
    <row r="185" spans="1:19" x14ac:dyDescent="0.45">
      <c r="A185" t="s">
        <v>248</v>
      </c>
      <c r="B185" t="s">
        <v>20</v>
      </c>
      <c r="C185" t="s">
        <v>21</v>
      </c>
      <c r="D185" t="s">
        <v>78</v>
      </c>
      <c r="E185" s="1">
        <v>45496</v>
      </c>
      <c r="F185" s="1">
        <v>45497</v>
      </c>
      <c r="G185">
        <v>23</v>
      </c>
      <c r="H185">
        <v>4.8499999999999996</v>
      </c>
      <c r="I185">
        <v>7.64</v>
      </c>
      <c r="J185">
        <v>2.6</v>
      </c>
      <c r="K185">
        <v>0</v>
      </c>
      <c r="L185">
        <v>41.67</v>
      </c>
      <c r="M185" t="s">
        <v>106</v>
      </c>
      <c r="N185" t="s">
        <v>24</v>
      </c>
      <c r="O185">
        <v>23</v>
      </c>
      <c r="P185">
        <v>7</v>
      </c>
      <c r="Q185" t="s">
        <v>31</v>
      </c>
      <c r="R185" t="s">
        <v>32</v>
      </c>
      <c r="S185">
        <v>0</v>
      </c>
    </row>
    <row r="186" spans="1:19" x14ac:dyDescent="0.45">
      <c r="A186" t="s">
        <v>249</v>
      </c>
      <c r="B186" t="s">
        <v>48</v>
      </c>
      <c r="C186" t="s">
        <v>73</v>
      </c>
      <c r="D186" t="s">
        <v>56</v>
      </c>
      <c r="E186" s="1">
        <v>45432</v>
      </c>
      <c r="F186" s="1">
        <v>45434</v>
      </c>
      <c r="G186">
        <v>40</v>
      </c>
      <c r="H186">
        <v>5.4</v>
      </c>
      <c r="I186">
        <v>7.75</v>
      </c>
      <c r="J186">
        <v>2.59</v>
      </c>
      <c r="K186">
        <v>0</v>
      </c>
      <c r="L186">
        <v>22.22</v>
      </c>
      <c r="M186" t="s">
        <v>43</v>
      </c>
      <c r="N186" t="s">
        <v>24</v>
      </c>
      <c r="O186">
        <v>40</v>
      </c>
      <c r="P186">
        <v>5</v>
      </c>
      <c r="Q186" t="s">
        <v>67</v>
      </c>
      <c r="R186" t="s">
        <v>46</v>
      </c>
      <c r="S186">
        <v>0</v>
      </c>
    </row>
    <row r="187" spans="1:19" x14ac:dyDescent="0.45">
      <c r="A187" t="s">
        <v>250</v>
      </c>
      <c r="B187" t="s">
        <v>52</v>
      </c>
      <c r="C187" t="s">
        <v>34</v>
      </c>
      <c r="D187" t="s">
        <v>56</v>
      </c>
      <c r="E187" s="1">
        <v>45321</v>
      </c>
      <c r="F187" s="1">
        <v>45324</v>
      </c>
      <c r="G187">
        <v>72</v>
      </c>
      <c r="H187">
        <v>5.13</v>
      </c>
      <c r="I187">
        <v>7.79</v>
      </c>
      <c r="J187">
        <v>2.54</v>
      </c>
      <c r="K187">
        <v>0</v>
      </c>
      <c r="L187">
        <v>13.59</v>
      </c>
      <c r="M187" t="s">
        <v>35</v>
      </c>
      <c r="N187" t="s">
        <v>24</v>
      </c>
      <c r="O187">
        <v>72</v>
      </c>
      <c r="P187">
        <v>1</v>
      </c>
      <c r="Q187" t="s">
        <v>25</v>
      </c>
      <c r="R187" t="s">
        <v>26</v>
      </c>
      <c r="S187">
        <v>0</v>
      </c>
    </row>
    <row r="188" spans="1:19" x14ac:dyDescent="0.45">
      <c r="A188" t="s">
        <v>251</v>
      </c>
      <c r="B188" t="s">
        <v>20</v>
      </c>
      <c r="C188" t="s">
        <v>53</v>
      </c>
      <c r="D188" t="s">
        <v>22</v>
      </c>
      <c r="E188" s="1">
        <v>45588.916666666664</v>
      </c>
      <c r="F188" s="1">
        <v>45592.916666666664</v>
      </c>
      <c r="G188">
        <v>96</v>
      </c>
      <c r="H188">
        <v>5.17</v>
      </c>
      <c r="I188">
        <v>7.78</v>
      </c>
      <c r="J188">
        <v>2.67</v>
      </c>
      <c r="K188">
        <v>0</v>
      </c>
      <c r="L188">
        <v>21.41</v>
      </c>
      <c r="M188" t="s">
        <v>75</v>
      </c>
      <c r="N188" t="s">
        <v>24</v>
      </c>
      <c r="O188">
        <v>96</v>
      </c>
      <c r="P188">
        <v>10</v>
      </c>
      <c r="Q188" t="s">
        <v>61</v>
      </c>
      <c r="R188" t="s">
        <v>62</v>
      </c>
      <c r="S188">
        <v>0</v>
      </c>
    </row>
    <row r="189" spans="1:19" x14ac:dyDescent="0.45">
      <c r="A189" t="s">
        <v>252</v>
      </c>
      <c r="B189" t="s">
        <v>20</v>
      </c>
      <c r="C189" t="s">
        <v>38</v>
      </c>
      <c r="D189" t="s">
        <v>50</v>
      </c>
      <c r="E189" s="1">
        <v>45474.083333333336</v>
      </c>
      <c r="F189" s="1">
        <v>45476.416666666664</v>
      </c>
      <c r="G189">
        <v>56</v>
      </c>
      <c r="H189">
        <v>5.0599999999999996</v>
      </c>
      <c r="I189">
        <v>7.77</v>
      </c>
      <c r="J189">
        <v>2.69</v>
      </c>
      <c r="K189">
        <v>0</v>
      </c>
      <c r="L189">
        <v>23.08</v>
      </c>
      <c r="M189" t="s">
        <v>35</v>
      </c>
      <c r="N189" t="s">
        <v>24</v>
      </c>
      <c r="O189">
        <v>56</v>
      </c>
      <c r="P189">
        <v>7</v>
      </c>
      <c r="Q189" t="s">
        <v>31</v>
      </c>
      <c r="R189" t="s">
        <v>32</v>
      </c>
      <c r="S189">
        <v>0</v>
      </c>
    </row>
    <row r="190" spans="1:19" x14ac:dyDescent="0.45">
      <c r="A190" t="s">
        <v>253</v>
      </c>
      <c r="B190" t="s">
        <v>28</v>
      </c>
      <c r="C190" t="s">
        <v>42</v>
      </c>
      <c r="D190" t="s">
        <v>29</v>
      </c>
      <c r="E190" s="1">
        <v>45476.583333333336</v>
      </c>
      <c r="F190" s="1">
        <v>45479.166666666664</v>
      </c>
      <c r="G190">
        <v>62</v>
      </c>
      <c r="H190">
        <v>4.92</v>
      </c>
      <c r="I190">
        <v>9.39</v>
      </c>
      <c r="J190">
        <v>2.65</v>
      </c>
      <c r="K190">
        <v>4</v>
      </c>
      <c r="L190">
        <v>50.23</v>
      </c>
      <c r="M190" t="s">
        <v>35</v>
      </c>
      <c r="N190" t="s">
        <v>109</v>
      </c>
      <c r="O190">
        <v>62</v>
      </c>
      <c r="P190">
        <v>7</v>
      </c>
      <c r="Q190" t="s">
        <v>31</v>
      </c>
      <c r="R190" t="s">
        <v>32</v>
      </c>
      <c r="S190">
        <v>0</v>
      </c>
    </row>
    <row r="191" spans="1:19" x14ac:dyDescent="0.45">
      <c r="A191" t="s">
        <v>254</v>
      </c>
      <c r="B191" t="s">
        <v>37</v>
      </c>
      <c r="C191" t="s">
        <v>93</v>
      </c>
      <c r="D191" t="s">
        <v>56</v>
      </c>
      <c r="E191" s="1">
        <v>45524</v>
      </c>
      <c r="F191" s="1">
        <v>45528</v>
      </c>
      <c r="G191">
        <v>87</v>
      </c>
      <c r="H191">
        <v>5.22</v>
      </c>
      <c r="I191">
        <v>7.72</v>
      </c>
      <c r="J191">
        <v>2.58</v>
      </c>
      <c r="K191">
        <v>0</v>
      </c>
      <c r="L191">
        <v>10.16</v>
      </c>
      <c r="M191" t="s">
        <v>57</v>
      </c>
      <c r="N191" t="s">
        <v>24</v>
      </c>
      <c r="O191">
        <v>87</v>
      </c>
      <c r="P191">
        <v>8</v>
      </c>
      <c r="Q191" t="s">
        <v>58</v>
      </c>
      <c r="R191" t="s">
        <v>32</v>
      </c>
      <c r="S191">
        <v>0</v>
      </c>
    </row>
    <row r="192" spans="1:19" x14ac:dyDescent="0.45">
      <c r="A192" t="s">
        <v>255</v>
      </c>
      <c r="B192" t="s">
        <v>52</v>
      </c>
      <c r="C192" t="s">
        <v>82</v>
      </c>
      <c r="D192" t="s">
        <v>56</v>
      </c>
      <c r="E192" s="1">
        <v>45529</v>
      </c>
      <c r="F192" s="1">
        <v>45531</v>
      </c>
      <c r="G192">
        <v>47</v>
      </c>
      <c r="H192">
        <v>5.12</v>
      </c>
      <c r="I192">
        <v>7.63</v>
      </c>
      <c r="J192">
        <v>2.5099999999999998</v>
      </c>
      <c r="K192">
        <v>0</v>
      </c>
      <c r="L192">
        <v>62.06</v>
      </c>
      <c r="M192" t="s">
        <v>44</v>
      </c>
      <c r="N192" t="s">
        <v>24</v>
      </c>
      <c r="O192">
        <v>47</v>
      </c>
      <c r="P192">
        <v>8</v>
      </c>
      <c r="Q192" t="s">
        <v>58</v>
      </c>
      <c r="R192" t="s">
        <v>32</v>
      </c>
      <c r="S192">
        <v>0</v>
      </c>
    </row>
    <row r="193" spans="1:19" x14ac:dyDescent="0.45">
      <c r="A193" t="s">
        <v>256</v>
      </c>
      <c r="B193" t="s">
        <v>20</v>
      </c>
      <c r="C193" t="s">
        <v>42</v>
      </c>
      <c r="D193" t="s">
        <v>56</v>
      </c>
      <c r="E193" s="1">
        <v>45533</v>
      </c>
      <c r="F193" s="1">
        <v>45534</v>
      </c>
      <c r="G193">
        <v>26</v>
      </c>
      <c r="H193">
        <v>8.67</v>
      </c>
      <c r="I193">
        <v>12.41</v>
      </c>
      <c r="J193">
        <v>3.09</v>
      </c>
      <c r="K193">
        <v>15</v>
      </c>
      <c r="L193">
        <v>51.65</v>
      </c>
      <c r="M193" t="s">
        <v>35</v>
      </c>
      <c r="N193" t="s">
        <v>39</v>
      </c>
      <c r="O193">
        <v>26</v>
      </c>
      <c r="P193">
        <v>8</v>
      </c>
      <c r="Q193" t="s">
        <v>58</v>
      </c>
      <c r="R193" t="s">
        <v>32</v>
      </c>
      <c r="S193">
        <v>51.65</v>
      </c>
    </row>
    <row r="194" spans="1:19" x14ac:dyDescent="0.45">
      <c r="A194" t="s">
        <v>257</v>
      </c>
      <c r="B194" t="s">
        <v>28</v>
      </c>
      <c r="C194" t="s">
        <v>38</v>
      </c>
      <c r="D194" t="s">
        <v>50</v>
      </c>
      <c r="E194" s="1">
        <v>45619.583333333336</v>
      </c>
      <c r="F194" s="1">
        <v>45621.333333333336</v>
      </c>
      <c r="G194">
        <v>42</v>
      </c>
      <c r="H194">
        <v>4.79</v>
      </c>
      <c r="I194">
        <v>7.6</v>
      </c>
      <c r="J194">
        <v>2.63</v>
      </c>
      <c r="K194">
        <v>0</v>
      </c>
      <c r="L194">
        <v>60.52</v>
      </c>
      <c r="M194" t="s">
        <v>106</v>
      </c>
      <c r="N194" t="s">
        <v>24</v>
      </c>
      <c r="O194">
        <v>42</v>
      </c>
      <c r="P194">
        <v>11</v>
      </c>
      <c r="Q194" t="s">
        <v>89</v>
      </c>
      <c r="R194" t="s">
        <v>62</v>
      </c>
      <c r="S194">
        <v>0</v>
      </c>
    </row>
    <row r="195" spans="1:19" x14ac:dyDescent="0.45">
      <c r="A195" t="s">
        <v>258</v>
      </c>
      <c r="B195" t="s">
        <v>20</v>
      </c>
      <c r="C195" t="s">
        <v>21</v>
      </c>
      <c r="D195" t="s">
        <v>50</v>
      </c>
      <c r="E195" s="1">
        <v>45523</v>
      </c>
      <c r="F195" s="1">
        <v>45526</v>
      </c>
      <c r="G195">
        <v>87</v>
      </c>
      <c r="H195">
        <v>4.92</v>
      </c>
      <c r="I195">
        <v>7.72</v>
      </c>
      <c r="J195">
        <v>2.5</v>
      </c>
      <c r="K195">
        <v>0</v>
      </c>
      <c r="L195">
        <v>70.23</v>
      </c>
      <c r="M195" t="s">
        <v>57</v>
      </c>
      <c r="N195" t="s">
        <v>24</v>
      </c>
      <c r="O195">
        <v>87</v>
      </c>
      <c r="P195">
        <v>8</v>
      </c>
      <c r="Q195" t="s">
        <v>58</v>
      </c>
      <c r="R195" t="s">
        <v>32</v>
      </c>
      <c r="S195">
        <v>0</v>
      </c>
    </row>
    <row r="196" spans="1:19" x14ac:dyDescent="0.45">
      <c r="A196" t="s">
        <v>259</v>
      </c>
      <c r="B196" t="s">
        <v>48</v>
      </c>
      <c r="C196" t="s">
        <v>38</v>
      </c>
      <c r="D196" t="s">
        <v>50</v>
      </c>
      <c r="E196" s="1">
        <v>45468</v>
      </c>
      <c r="F196" s="1">
        <v>45471</v>
      </c>
      <c r="G196">
        <v>65</v>
      </c>
      <c r="H196">
        <v>5.81</v>
      </c>
      <c r="I196">
        <v>12.4</v>
      </c>
      <c r="J196">
        <v>2.56</v>
      </c>
      <c r="K196">
        <v>8</v>
      </c>
      <c r="L196">
        <v>10.86</v>
      </c>
      <c r="M196" t="s">
        <v>79</v>
      </c>
      <c r="N196" t="s">
        <v>39</v>
      </c>
      <c r="O196">
        <v>65</v>
      </c>
      <c r="P196">
        <v>6</v>
      </c>
      <c r="Q196" t="s">
        <v>40</v>
      </c>
      <c r="R196" t="s">
        <v>32</v>
      </c>
      <c r="S196">
        <v>10.86</v>
      </c>
    </row>
    <row r="197" spans="1:19" x14ac:dyDescent="0.45">
      <c r="A197" t="s">
        <v>260</v>
      </c>
      <c r="B197" t="s">
        <v>37</v>
      </c>
      <c r="C197" t="s">
        <v>38</v>
      </c>
      <c r="D197" t="s">
        <v>29</v>
      </c>
      <c r="E197" s="1">
        <v>45628.583333333336</v>
      </c>
      <c r="F197" s="1">
        <v>45629.916666666664</v>
      </c>
      <c r="G197">
        <v>32</v>
      </c>
      <c r="H197">
        <v>5.47</v>
      </c>
      <c r="I197">
        <v>7.75</v>
      </c>
      <c r="J197">
        <v>2.97</v>
      </c>
      <c r="K197">
        <v>0</v>
      </c>
      <c r="L197">
        <v>11.04</v>
      </c>
      <c r="M197" t="s">
        <v>35</v>
      </c>
      <c r="N197" t="s">
        <v>24</v>
      </c>
      <c r="O197">
        <v>32</v>
      </c>
      <c r="P197">
        <v>12</v>
      </c>
      <c r="Q197" t="s">
        <v>54</v>
      </c>
      <c r="R197" t="s">
        <v>26</v>
      </c>
      <c r="S197">
        <v>0</v>
      </c>
    </row>
    <row r="198" spans="1:19" x14ac:dyDescent="0.45">
      <c r="A198" t="s">
        <v>261</v>
      </c>
      <c r="B198" t="s">
        <v>37</v>
      </c>
      <c r="C198" t="s">
        <v>73</v>
      </c>
      <c r="D198" t="s">
        <v>56</v>
      </c>
      <c r="E198" s="1">
        <v>45435</v>
      </c>
      <c r="F198" s="1">
        <v>45436.208333333336</v>
      </c>
      <c r="G198">
        <v>29</v>
      </c>
      <c r="H198">
        <v>5.07</v>
      </c>
      <c r="I198">
        <v>7.68</v>
      </c>
      <c r="J198">
        <v>2.5099999999999998</v>
      </c>
      <c r="K198">
        <v>0</v>
      </c>
      <c r="L198">
        <v>50.38</v>
      </c>
      <c r="M198" t="s">
        <v>57</v>
      </c>
      <c r="N198" t="s">
        <v>24</v>
      </c>
      <c r="O198">
        <v>29</v>
      </c>
      <c r="P198">
        <v>5</v>
      </c>
      <c r="Q198" t="s">
        <v>67</v>
      </c>
      <c r="R198" t="s">
        <v>46</v>
      </c>
      <c r="S198">
        <v>0</v>
      </c>
    </row>
    <row r="199" spans="1:19" x14ac:dyDescent="0.45">
      <c r="A199" t="s">
        <v>262</v>
      </c>
      <c r="B199" t="s">
        <v>52</v>
      </c>
      <c r="C199" t="s">
        <v>53</v>
      </c>
      <c r="D199" t="s">
        <v>56</v>
      </c>
      <c r="E199" s="1">
        <v>45630.958333333336</v>
      </c>
      <c r="F199" s="1">
        <v>45633.083333333336</v>
      </c>
      <c r="G199">
        <v>51</v>
      </c>
      <c r="H199">
        <v>6.6</v>
      </c>
      <c r="I199">
        <v>12.13</v>
      </c>
      <c r="J199">
        <v>2.52</v>
      </c>
      <c r="K199">
        <v>13</v>
      </c>
      <c r="L199">
        <v>40.74</v>
      </c>
      <c r="M199" t="s">
        <v>23</v>
      </c>
      <c r="N199" t="s">
        <v>39</v>
      </c>
      <c r="O199">
        <v>51</v>
      </c>
      <c r="P199">
        <v>12</v>
      </c>
      <c r="Q199" t="s">
        <v>54</v>
      </c>
      <c r="R199" t="s">
        <v>26</v>
      </c>
      <c r="S199">
        <v>40.74</v>
      </c>
    </row>
    <row r="200" spans="1:19" x14ac:dyDescent="0.45">
      <c r="A200" t="s">
        <v>263</v>
      </c>
      <c r="B200" t="s">
        <v>37</v>
      </c>
      <c r="C200" t="s">
        <v>38</v>
      </c>
      <c r="D200" t="s">
        <v>78</v>
      </c>
      <c r="E200" s="1">
        <v>45335</v>
      </c>
      <c r="F200" s="1">
        <v>45336</v>
      </c>
      <c r="G200">
        <v>27</v>
      </c>
      <c r="H200">
        <v>5.19</v>
      </c>
      <c r="I200">
        <v>12.42</v>
      </c>
      <c r="J200">
        <v>3.28</v>
      </c>
      <c r="K200">
        <v>12</v>
      </c>
      <c r="L200">
        <v>71.44</v>
      </c>
      <c r="M200" t="s">
        <v>57</v>
      </c>
      <c r="N200" t="s">
        <v>39</v>
      </c>
      <c r="O200">
        <v>27</v>
      </c>
      <c r="P200">
        <v>2</v>
      </c>
      <c r="Q200" t="s">
        <v>65</v>
      </c>
      <c r="R200" t="s">
        <v>26</v>
      </c>
      <c r="S200">
        <v>71.44</v>
      </c>
    </row>
    <row r="201" spans="1:19" x14ac:dyDescent="0.45">
      <c r="A201" t="s">
        <v>264</v>
      </c>
      <c r="B201" t="s">
        <v>37</v>
      </c>
      <c r="C201" t="s">
        <v>42</v>
      </c>
      <c r="D201" t="s">
        <v>56</v>
      </c>
      <c r="E201" s="1">
        <v>45472.833333333336</v>
      </c>
      <c r="F201" s="1">
        <v>45476.333333333336</v>
      </c>
      <c r="G201">
        <v>84</v>
      </c>
      <c r="H201">
        <v>5.03</v>
      </c>
      <c r="I201">
        <v>7.68</v>
      </c>
      <c r="J201">
        <v>2.58</v>
      </c>
      <c r="K201">
        <v>0</v>
      </c>
      <c r="L201">
        <v>30.45</v>
      </c>
      <c r="M201" t="s">
        <v>35</v>
      </c>
      <c r="N201" t="s">
        <v>24</v>
      </c>
      <c r="O201">
        <v>84</v>
      </c>
      <c r="P201">
        <v>6</v>
      </c>
      <c r="Q201" t="s">
        <v>40</v>
      </c>
      <c r="R201" t="s">
        <v>32</v>
      </c>
      <c r="S201">
        <v>0</v>
      </c>
    </row>
    <row r="202" spans="1:19" x14ac:dyDescent="0.45">
      <c r="A202" t="s">
        <v>265</v>
      </c>
      <c r="B202" t="s">
        <v>20</v>
      </c>
      <c r="C202" t="s">
        <v>34</v>
      </c>
      <c r="D202" t="s">
        <v>50</v>
      </c>
      <c r="E202" s="1">
        <v>45522.041666666664</v>
      </c>
      <c r="F202" s="1">
        <v>45525.208333333336</v>
      </c>
      <c r="G202">
        <v>76</v>
      </c>
      <c r="H202">
        <v>5.66</v>
      </c>
      <c r="I202">
        <v>12.27</v>
      </c>
      <c r="J202">
        <v>2.52</v>
      </c>
      <c r="K202">
        <v>5</v>
      </c>
      <c r="L202">
        <v>32.090000000000003</v>
      </c>
      <c r="M202" t="s">
        <v>57</v>
      </c>
      <c r="N202" t="s">
        <v>39</v>
      </c>
      <c r="O202">
        <v>76</v>
      </c>
      <c r="P202">
        <v>8</v>
      </c>
      <c r="Q202" t="s">
        <v>58</v>
      </c>
      <c r="R202" t="s">
        <v>32</v>
      </c>
      <c r="S202">
        <v>32.090000000000003</v>
      </c>
    </row>
    <row r="203" spans="1:19" x14ac:dyDescent="0.45">
      <c r="A203" t="s">
        <v>266</v>
      </c>
      <c r="B203" t="s">
        <v>20</v>
      </c>
      <c r="C203" t="s">
        <v>38</v>
      </c>
      <c r="D203" t="s">
        <v>22</v>
      </c>
      <c r="E203" s="1">
        <v>45371.708333333336</v>
      </c>
      <c r="F203" s="1">
        <v>45373.291666666664</v>
      </c>
      <c r="G203">
        <v>38</v>
      </c>
      <c r="H203">
        <v>4.9400000000000004</v>
      </c>
      <c r="I203">
        <v>7.73</v>
      </c>
      <c r="J203">
        <v>2.84</v>
      </c>
      <c r="K203">
        <v>0</v>
      </c>
      <c r="L203">
        <v>11.66</v>
      </c>
      <c r="M203" t="s">
        <v>43</v>
      </c>
      <c r="N203" t="s">
        <v>24</v>
      </c>
      <c r="O203">
        <v>38</v>
      </c>
      <c r="P203">
        <v>3</v>
      </c>
      <c r="Q203" t="s">
        <v>45</v>
      </c>
      <c r="R203" t="s">
        <v>46</v>
      </c>
      <c r="S203">
        <v>0</v>
      </c>
    </row>
    <row r="204" spans="1:19" x14ac:dyDescent="0.45">
      <c r="A204" t="s">
        <v>267</v>
      </c>
      <c r="B204" t="s">
        <v>52</v>
      </c>
      <c r="C204" t="s">
        <v>21</v>
      </c>
      <c r="D204" t="s">
        <v>50</v>
      </c>
      <c r="E204" s="1">
        <v>45488</v>
      </c>
      <c r="F204" s="1">
        <v>45491</v>
      </c>
      <c r="G204">
        <v>91</v>
      </c>
      <c r="H204">
        <v>4.8099999999999996</v>
      </c>
      <c r="I204">
        <v>7.79</v>
      </c>
      <c r="J204">
        <v>2.5</v>
      </c>
      <c r="K204">
        <v>0</v>
      </c>
      <c r="L204">
        <v>74.44</v>
      </c>
      <c r="M204" t="s">
        <v>106</v>
      </c>
      <c r="N204" t="s">
        <v>24</v>
      </c>
      <c r="O204">
        <v>91</v>
      </c>
      <c r="P204">
        <v>7</v>
      </c>
      <c r="Q204" t="s">
        <v>31</v>
      </c>
      <c r="R204" t="s">
        <v>32</v>
      </c>
      <c r="S204">
        <v>0</v>
      </c>
    </row>
    <row r="205" spans="1:19" x14ac:dyDescent="0.45">
      <c r="A205" t="s">
        <v>268</v>
      </c>
      <c r="B205" t="s">
        <v>28</v>
      </c>
      <c r="C205" t="s">
        <v>21</v>
      </c>
      <c r="D205" t="s">
        <v>29</v>
      </c>
      <c r="E205" s="1">
        <v>45574</v>
      </c>
      <c r="F205" s="1">
        <v>45576</v>
      </c>
      <c r="G205">
        <v>47</v>
      </c>
      <c r="H205">
        <v>4.95</v>
      </c>
      <c r="I205">
        <v>7.75</v>
      </c>
      <c r="J205">
        <v>2.54</v>
      </c>
      <c r="K205">
        <v>0</v>
      </c>
      <c r="L205">
        <v>50.3</v>
      </c>
      <c r="M205" t="s">
        <v>75</v>
      </c>
      <c r="N205" t="s">
        <v>24</v>
      </c>
      <c r="O205">
        <v>47</v>
      </c>
      <c r="P205">
        <v>10</v>
      </c>
      <c r="Q205" t="s">
        <v>61</v>
      </c>
      <c r="R205" t="s">
        <v>62</v>
      </c>
      <c r="S205">
        <v>0</v>
      </c>
    </row>
    <row r="206" spans="1:19" x14ac:dyDescent="0.45">
      <c r="A206" t="s">
        <v>269</v>
      </c>
      <c r="B206" t="s">
        <v>28</v>
      </c>
      <c r="C206" t="s">
        <v>73</v>
      </c>
      <c r="D206" t="s">
        <v>56</v>
      </c>
      <c r="E206" s="1">
        <v>45561.041666666664</v>
      </c>
      <c r="F206" s="1">
        <v>45561.708333333336</v>
      </c>
      <c r="G206">
        <v>16</v>
      </c>
      <c r="H206">
        <v>5.03</v>
      </c>
      <c r="I206">
        <v>6.83</v>
      </c>
      <c r="J206">
        <v>3.56</v>
      </c>
      <c r="K206">
        <v>0</v>
      </c>
      <c r="L206">
        <v>47.96</v>
      </c>
      <c r="M206" t="s">
        <v>23</v>
      </c>
      <c r="N206" t="s">
        <v>24</v>
      </c>
      <c r="O206">
        <v>16</v>
      </c>
      <c r="P206">
        <v>9</v>
      </c>
      <c r="Q206" t="s">
        <v>76</v>
      </c>
      <c r="R206" t="s">
        <v>32</v>
      </c>
      <c r="S206">
        <v>0</v>
      </c>
    </row>
    <row r="207" spans="1:19" x14ac:dyDescent="0.45">
      <c r="A207" t="s">
        <v>270</v>
      </c>
      <c r="B207" t="s">
        <v>48</v>
      </c>
      <c r="C207" t="s">
        <v>73</v>
      </c>
      <c r="D207" t="s">
        <v>29</v>
      </c>
      <c r="E207" s="1">
        <v>45418</v>
      </c>
      <c r="F207" s="1">
        <v>45422</v>
      </c>
      <c r="G207">
        <v>89</v>
      </c>
      <c r="H207">
        <v>5.21</v>
      </c>
      <c r="I207">
        <v>7.8</v>
      </c>
      <c r="J207">
        <v>2.6</v>
      </c>
      <c r="K207">
        <v>0</v>
      </c>
      <c r="L207">
        <v>15.9</v>
      </c>
      <c r="M207" t="s">
        <v>44</v>
      </c>
      <c r="N207" t="s">
        <v>24</v>
      </c>
      <c r="O207">
        <v>89</v>
      </c>
      <c r="P207">
        <v>5</v>
      </c>
      <c r="Q207" t="s">
        <v>67</v>
      </c>
      <c r="R207" t="s">
        <v>46</v>
      </c>
      <c r="S207">
        <v>0</v>
      </c>
    </row>
    <row r="208" spans="1:19" x14ac:dyDescent="0.45">
      <c r="A208" t="s">
        <v>271</v>
      </c>
      <c r="B208" t="s">
        <v>52</v>
      </c>
      <c r="C208" t="s">
        <v>21</v>
      </c>
      <c r="D208" t="s">
        <v>78</v>
      </c>
      <c r="E208" s="1">
        <v>45639.25</v>
      </c>
      <c r="F208" s="1">
        <v>45641.166666666664</v>
      </c>
      <c r="G208">
        <v>46</v>
      </c>
      <c r="H208">
        <v>5.19</v>
      </c>
      <c r="I208">
        <v>12.29</v>
      </c>
      <c r="J208">
        <v>2.67</v>
      </c>
      <c r="K208">
        <v>5</v>
      </c>
      <c r="L208">
        <v>72.41</v>
      </c>
      <c r="M208" t="s">
        <v>35</v>
      </c>
      <c r="N208" t="s">
        <v>39</v>
      </c>
      <c r="O208">
        <v>46</v>
      </c>
      <c r="P208">
        <v>12</v>
      </c>
      <c r="Q208" t="s">
        <v>54</v>
      </c>
      <c r="R208" t="s">
        <v>26</v>
      </c>
      <c r="S208">
        <v>72.41</v>
      </c>
    </row>
    <row r="209" spans="1:19" x14ac:dyDescent="0.45">
      <c r="A209" t="s">
        <v>272</v>
      </c>
      <c r="B209" t="s">
        <v>48</v>
      </c>
      <c r="C209" t="s">
        <v>82</v>
      </c>
      <c r="D209" t="s">
        <v>50</v>
      </c>
      <c r="E209" s="1">
        <v>45414</v>
      </c>
      <c r="F209" s="1">
        <v>45416</v>
      </c>
      <c r="G209">
        <v>40</v>
      </c>
      <c r="H209">
        <v>5.03</v>
      </c>
      <c r="I209">
        <v>7.58</v>
      </c>
      <c r="J209">
        <v>2.66</v>
      </c>
      <c r="K209">
        <v>0</v>
      </c>
      <c r="L209">
        <v>27.27</v>
      </c>
      <c r="M209" t="s">
        <v>57</v>
      </c>
      <c r="N209" t="s">
        <v>24</v>
      </c>
      <c r="O209">
        <v>40</v>
      </c>
      <c r="P209">
        <v>5</v>
      </c>
      <c r="Q209" t="s">
        <v>67</v>
      </c>
      <c r="R209" t="s">
        <v>46</v>
      </c>
      <c r="S209">
        <v>0</v>
      </c>
    </row>
    <row r="210" spans="1:19" x14ac:dyDescent="0.45">
      <c r="A210" t="s">
        <v>273</v>
      </c>
      <c r="B210" t="s">
        <v>37</v>
      </c>
      <c r="C210" t="s">
        <v>73</v>
      </c>
      <c r="D210" t="s">
        <v>56</v>
      </c>
      <c r="E210" s="1">
        <v>45515</v>
      </c>
      <c r="F210" s="1">
        <v>45517</v>
      </c>
      <c r="G210">
        <v>41</v>
      </c>
      <c r="H210">
        <v>5.27</v>
      </c>
      <c r="I210">
        <v>7.74</v>
      </c>
      <c r="J210">
        <v>2.52</v>
      </c>
      <c r="K210">
        <v>0</v>
      </c>
      <c r="L210">
        <v>18.3</v>
      </c>
      <c r="M210" t="s">
        <v>79</v>
      </c>
      <c r="N210" t="s">
        <v>24</v>
      </c>
      <c r="O210">
        <v>41</v>
      </c>
      <c r="P210">
        <v>8</v>
      </c>
      <c r="Q210" t="s">
        <v>58</v>
      </c>
      <c r="R210" t="s">
        <v>32</v>
      </c>
      <c r="S210">
        <v>0</v>
      </c>
    </row>
    <row r="211" spans="1:19" x14ac:dyDescent="0.45">
      <c r="A211" t="s">
        <v>274</v>
      </c>
      <c r="B211" t="s">
        <v>37</v>
      </c>
      <c r="C211" t="s">
        <v>42</v>
      </c>
      <c r="D211" t="s">
        <v>22</v>
      </c>
      <c r="E211" s="1">
        <v>45313.375</v>
      </c>
      <c r="F211" s="1">
        <v>45314.5</v>
      </c>
      <c r="G211">
        <v>27</v>
      </c>
      <c r="H211">
        <v>5.49</v>
      </c>
      <c r="I211">
        <v>7.74</v>
      </c>
      <c r="J211">
        <v>2.89</v>
      </c>
      <c r="K211">
        <v>0</v>
      </c>
      <c r="L211">
        <v>28.54</v>
      </c>
      <c r="M211" t="s">
        <v>23</v>
      </c>
      <c r="N211" t="s">
        <v>24</v>
      </c>
      <c r="O211">
        <v>27</v>
      </c>
      <c r="P211">
        <v>1</v>
      </c>
      <c r="Q211" t="s">
        <v>25</v>
      </c>
      <c r="R211" t="s">
        <v>26</v>
      </c>
      <c r="S211">
        <v>0</v>
      </c>
    </row>
    <row r="212" spans="1:19" x14ac:dyDescent="0.45">
      <c r="A212" t="s">
        <v>275</v>
      </c>
      <c r="B212" t="s">
        <v>20</v>
      </c>
      <c r="C212" t="s">
        <v>73</v>
      </c>
      <c r="D212" t="s">
        <v>56</v>
      </c>
      <c r="E212" s="1">
        <v>45489</v>
      </c>
      <c r="F212" s="1">
        <v>45491</v>
      </c>
      <c r="G212">
        <v>59</v>
      </c>
      <c r="H212">
        <v>5.01</v>
      </c>
      <c r="I212">
        <v>7.76</v>
      </c>
      <c r="J212">
        <v>2.56</v>
      </c>
      <c r="K212">
        <v>0</v>
      </c>
      <c r="L212">
        <v>14.61</v>
      </c>
      <c r="M212" t="s">
        <v>43</v>
      </c>
      <c r="N212" t="s">
        <v>24</v>
      </c>
      <c r="O212">
        <v>59</v>
      </c>
      <c r="P212">
        <v>7</v>
      </c>
      <c r="Q212" t="s">
        <v>31</v>
      </c>
      <c r="R212" t="s">
        <v>32</v>
      </c>
      <c r="S212">
        <v>0</v>
      </c>
    </row>
    <row r="213" spans="1:19" x14ac:dyDescent="0.45">
      <c r="A213" t="s">
        <v>276</v>
      </c>
      <c r="B213" t="s">
        <v>48</v>
      </c>
      <c r="C213" t="s">
        <v>93</v>
      </c>
      <c r="D213" t="s">
        <v>29</v>
      </c>
      <c r="E213" s="1">
        <v>45300.291666666664</v>
      </c>
      <c r="F213" s="1">
        <v>45303.541666666664</v>
      </c>
      <c r="G213">
        <v>78</v>
      </c>
      <c r="H213">
        <v>5.0199999999999996</v>
      </c>
      <c r="I213">
        <v>9.49</v>
      </c>
      <c r="J213">
        <v>2.54</v>
      </c>
      <c r="K213">
        <v>1</v>
      </c>
      <c r="L213">
        <v>5.45</v>
      </c>
      <c r="M213" t="s">
        <v>106</v>
      </c>
      <c r="N213" t="s">
        <v>109</v>
      </c>
      <c r="O213">
        <v>78</v>
      </c>
      <c r="P213">
        <v>1</v>
      </c>
      <c r="Q213" t="s">
        <v>25</v>
      </c>
      <c r="R213" t="s">
        <v>26</v>
      </c>
      <c r="S213">
        <v>0</v>
      </c>
    </row>
    <row r="214" spans="1:19" x14ac:dyDescent="0.45">
      <c r="A214" t="s">
        <v>277</v>
      </c>
      <c r="B214" t="s">
        <v>52</v>
      </c>
      <c r="C214" t="s">
        <v>73</v>
      </c>
      <c r="D214" t="s">
        <v>29</v>
      </c>
      <c r="E214" s="1">
        <v>45583</v>
      </c>
      <c r="F214" s="1">
        <v>45585</v>
      </c>
      <c r="G214">
        <v>58</v>
      </c>
      <c r="H214">
        <v>5.14</v>
      </c>
      <c r="I214">
        <v>9.2799999999999994</v>
      </c>
      <c r="J214">
        <v>2.65</v>
      </c>
      <c r="K214">
        <v>1</v>
      </c>
      <c r="L214">
        <v>17.05</v>
      </c>
      <c r="M214" t="s">
        <v>43</v>
      </c>
      <c r="N214" t="s">
        <v>109</v>
      </c>
      <c r="O214">
        <v>58</v>
      </c>
      <c r="P214">
        <v>10</v>
      </c>
      <c r="Q214" t="s">
        <v>61</v>
      </c>
      <c r="R214" t="s">
        <v>62</v>
      </c>
      <c r="S214">
        <v>0</v>
      </c>
    </row>
    <row r="215" spans="1:19" x14ac:dyDescent="0.45">
      <c r="A215" t="s">
        <v>278</v>
      </c>
      <c r="B215" t="s">
        <v>37</v>
      </c>
      <c r="C215" t="s">
        <v>21</v>
      </c>
      <c r="D215" t="s">
        <v>56</v>
      </c>
      <c r="E215" s="1">
        <v>45439</v>
      </c>
      <c r="F215" s="1">
        <v>45442</v>
      </c>
      <c r="G215">
        <v>76</v>
      </c>
      <c r="H215">
        <v>5.25</v>
      </c>
      <c r="I215">
        <v>7.77</v>
      </c>
      <c r="J215">
        <v>2.5099999999999998</v>
      </c>
      <c r="K215">
        <v>0</v>
      </c>
      <c r="L215">
        <v>58.53</v>
      </c>
      <c r="M215" t="s">
        <v>35</v>
      </c>
      <c r="N215" t="s">
        <v>24</v>
      </c>
      <c r="O215">
        <v>76</v>
      </c>
      <c r="P215">
        <v>5</v>
      </c>
      <c r="Q215" t="s">
        <v>67</v>
      </c>
      <c r="R215" t="s">
        <v>46</v>
      </c>
      <c r="S215">
        <v>0</v>
      </c>
    </row>
    <row r="216" spans="1:19" x14ac:dyDescent="0.45">
      <c r="A216" t="s">
        <v>279</v>
      </c>
      <c r="B216" t="s">
        <v>48</v>
      </c>
      <c r="C216" t="s">
        <v>53</v>
      </c>
      <c r="D216" t="s">
        <v>22</v>
      </c>
      <c r="E216" s="1">
        <v>45439.041666666664</v>
      </c>
      <c r="F216" s="1">
        <v>45440.958333333336</v>
      </c>
      <c r="G216">
        <v>46</v>
      </c>
      <c r="H216">
        <v>4.82</v>
      </c>
      <c r="I216">
        <v>7.7</v>
      </c>
      <c r="J216">
        <v>2.57</v>
      </c>
      <c r="K216">
        <v>0</v>
      </c>
      <c r="L216">
        <v>6.05</v>
      </c>
      <c r="M216" t="s">
        <v>106</v>
      </c>
      <c r="N216" t="s">
        <v>24</v>
      </c>
      <c r="O216">
        <v>46</v>
      </c>
      <c r="P216">
        <v>5</v>
      </c>
      <c r="Q216" t="s">
        <v>67</v>
      </c>
      <c r="R216" t="s">
        <v>46</v>
      </c>
      <c r="S216">
        <v>0</v>
      </c>
    </row>
    <row r="217" spans="1:19" x14ac:dyDescent="0.45">
      <c r="A217" t="s">
        <v>280</v>
      </c>
      <c r="B217" t="s">
        <v>37</v>
      </c>
      <c r="C217" t="s">
        <v>73</v>
      </c>
      <c r="D217" t="s">
        <v>56</v>
      </c>
      <c r="E217" s="1">
        <v>45524</v>
      </c>
      <c r="F217" s="1">
        <v>45527</v>
      </c>
      <c r="G217">
        <v>84</v>
      </c>
      <c r="H217">
        <v>5.15</v>
      </c>
      <c r="I217">
        <v>7.78</v>
      </c>
      <c r="J217">
        <v>2.52</v>
      </c>
      <c r="K217">
        <v>0</v>
      </c>
      <c r="L217">
        <v>39.090000000000003</v>
      </c>
      <c r="M217" t="s">
        <v>35</v>
      </c>
      <c r="N217" t="s">
        <v>24</v>
      </c>
      <c r="O217">
        <v>84</v>
      </c>
      <c r="P217">
        <v>8</v>
      </c>
      <c r="Q217" t="s">
        <v>58</v>
      </c>
      <c r="R217" t="s">
        <v>32</v>
      </c>
      <c r="S217">
        <v>0</v>
      </c>
    </row>
    <row r="218" spans="1:19" x14ac:dyDescent="0.45">
      <c r="A218" t="s">
        <v>281</v>
      </c>
      <c r="B218" t="s">
        <v>52</v>
      </c>
      <c r="C218" t="s">
        <v>21</v>
      </c>
      <c r="D218" t="s">
        <v>78</v>
      </c>
      <c r="E218" s="1">
        <v>45335.25</v>
      </c>
      <c r="F218" s="1">
        <v>45337.208333333336</v>
      </c>
      <c r="G218">
        <v>47</v>
      </c>
      <c r="H218">
        <v>5.27</v>
      </c>
      <c r="I218">
        <v>7.78</v>
      </c>
      <c r="J218">
        <v>2.6</v>
      </c>
      <c r="K218">
        <v>0</v>
      </c>
      <c r="L218">
        <v>79.52</v>
      </c>
      <c r="M218" t="s">
        <v>79</v>
      </c>
      <c r="N218" t="s">
        <v>24</v>
      </c>
      <c r="O218">
        <v>47</v>
      </c>
      <c r="P218">
        <v>2</v>
      </c>
      <c r="Q218" t="s">
        <v>65</v>
      </c>
      <c r="R218" t="s">
        <v>26</v>
      </c>
      <c r="S218">
        <v>0</v>
      </c>
    </row>
    <row r="219" spans="1:19" x14ac:dyDescent="0.45">
      <c r="A219" t="s">
        <v>282</v>
      </c>
      <c r="B219" t="s">
        <v>20</v>
      </c>
      <c r="C219" t="s">
        <v>93</v>
      </c>
      <c r="D219" t="s">
        <v>50</v>
      </c>
      <c r="E219" s="1">
        <v>45630.5</v>
      </c>
      <c r="F219" s="1">
        <v>45634.25</v>
      </c>
      <c r="G219">
        <v>90</v>
      </c>
      <c r="H219">
        <v>5.46</v>
      </c>
      <c r="I219">
        <v>8.23</v>
      </c>
      <c r="J219">
        <v>2.5099999999999998</v>
      </c>
      <c r="K219">
        <v>1</v>
      </c>
      <c r="L219">
        <v>24.52</v>
      </c>
      <c r="M219" t="s">
        <v>79</v>
      </c>
      <c r="N219" t="s">
        <v>109</v>
      </c>
      <c r="O219">
        <v>90</v>
      </c>
      <c r="P219">
        <v>12</v>
      </c>
      <c r="Q219" t="s">
        <v>54</v>
      </c>
      <c r="R219" t="s">
        <v>26</v>
      </c>
      <c r="S219">
        <v>0</v>
      </c>
    </row>
    <row r="220" spans="1:19" x14ac:dyDescent="0.45">
      <c r="A220" t="s">
        <v>283</v>
      </c>
      <c r="B220" t="s">
        <v>28</v>
      </c>
      <c r="C220" t="s">
        <v>21</v>
      </c>
      <c r="D220" t="s">
        <v>29</v>
      </c>
      <c r="E220" s="1">
        <v>45482</v>
      </c>
      <c r="F220" s="1">
        <v>45485</v>
      </c>
      <c r="G220">
        <v>63</v>
      </c>
      <c r="H220">
        <v>5.23</v>
      </c>
      <c r="I220">
        <v>7.75</v>
      </c>
      <c r="J220">
        <v>2.91</v>
      </c>
      <c r="K220">
        <v>0</v>
      </c>
      <c r="L220">
        <v>7.78</v>
      </c>
      <c r="M220" t="s">
        <v>35</v>
      </c>
      <c r="N220" t="s">
        <v>24</v>
      </c>
      <c r="O220">
        <v>63</v>
      </c>
      <c r="P220">
        <v>7</v>
      </c>
      <c r="Q220" t="s">
        <v>31</v>
      </c>
      <c r="R220" t="s">
        <v>32</v>
      </c>
      <c r="S220">
        <v>0</v>
      </c>
    </row>
    <row r="221" spans="1:19" x14ac:dyDescent="0.45">
      <c r="A221" t="s">
        <v>284</v>
      </c>
      <c r="B221" t="s">
        <v>20</v>
      </c>
      <c r="C221" t="s">
        <v>38</v>
      </c>
      <c r="D221" t="s">
        <v>78</v>
      </c>
      <c r="E221" s="1">
        <v>45487</v>
      </c>
      <c r="F221" s="1">
        <v>45490</v>
      </c>
      <c r="G221">
        <v>72</v>
      </c>
      <c r="H221">
        <v>4.95</v>
      </c>
      <c r="I221">
        <v>8.9700000000000006</v>
      </c>
      <c r="J221">
        <v>2.5299999999999998</v>
      </c>
      <c r="K221">
        <v>3</v>
      </c>
      <c r="L221">
        <v>6.69</v>
      </c>
      <c r="M221" t="s">
        <v>30</v>
      </c>
      <c r="N221" t="s">
        <v>109</v>
      </c>
      <c r="O221">
        <v>72</v>
      </c>
      <c r="P221">
        <v>7</v>
      </c>
      <c r="Q221" t="s">
        <v>31</v>
      </c>
      <c r="R221" t="s">
        <v>32</v>
      </c>
      <c r="S221">
        <v>0</v>
      </c>
    </row>
    <row r="222" spans="1:19" x14ac:dyDescent="0.45">
      <c r="A222" t="s">
        <v>285</v>
      </c>
      <c r="B222" t="s">
        <v>52</v>
      </c>
      <c r="C222" t="s">
        <v>34</v>
      </c>
      <c r="D222" t="s">
        <v>56</v>
      </c>
      <c r="E222" s="1">
        <v>45315</v>
      </c>
      <c r="F222" s="1">
        <v>45317</v>
      </c>
      <c r="G222">
        <v>37</v>
      </c>
      <c r="H222">
        <v>5.22</v>
      </c>
      <c r="I222">
        <v>7.8</v>
      </c>
      <c r="J222">
        <v>2.5099999999999998</v>
      </c>
      <c r="K222">
        <v>0</v>
      </c>
      <c r="L222">
        <v>53.28</v>
      </c>
      <c r="M222" t="s">
        <v>79</v>
      </c>
      <c r="N222" t="s">
        <v>24</v>
      </c>
      <c r="O222">
        <v>37</v>
      </c>
      <c r="P222">
        <v>1</v>
      </c>
      <c r="Q222" t="s">
        <v>25</v>
      </c>
      <c r="R222" t="s">
        <v>26</v>
      </c>
      <c r="S222">
        <v>0</v>
      </c>
    </row>
    <row r="223" spans="1:19" x14ac:dyDescent="0.45">
      <c r="A223" t="s">
        <v>286</v>
      </c>
      <c r="B223" t="s">
        <v>52</v>
      </c>
      <c r="C223" t="s">
        <v>73</v>
      </c>
      <c r="D223" t="s">
        <v>29</v>
      </c>
      <c r="E223" s="1">
        <v>45444.416666666664</v>
      </c>
      <c r="F223" s="1">
        <v>45446.291666666664</v>
      </c>
      <c r="G223">
        <v>45</v>
      </c>
      <c r="H223">
        <v>4.92</v>
      </c>
      <c r="I223">
        <v>7.63</v>
      </c>
      <c r="J223">
        <v>2.5099999999999998</v>
      </c>
      <c r="K223">
        <v>0</v>
      </c>
      <c r="L223">
        <v>70.599999999999994</v>
      </c>
      <c r="M223" t="s">
        <v>79</v>
      </c>
      <c r="N223" t="s">
        <v>24</v>
      </c>
      <c r="O223">
        <v>45</v>
      </c>
      <c r="P223">
        <v>6</v>
      </c>
      <c r="Q223" t="s">
        <v>40</v>
      </c>
      <c r="R223" t="s">
        <v>32</v>
      </c>
      <c r="S223">
        <v>0</v>
      </c>
    </row>
    <row r="224" spans="1:19" x14ac:dyDescent="0.45">
      <c r="A224" t="s">
        <v>287</v>
      </c>
      <c r="B224" t="s">
        <v>20</v>
      </c>
      <c r="C224" t="s">
        <v>42</v>
      </c>
      <c r="D224" t="s">
        <v>22</v>
      </c>
      <c r="E224" s="1">
        <v>45396.666666666664</v>
      </c>
      <c r="F224" s="1">
        <v>45400.541666666664</v>
      </c>
      <c r="G224">
        <v>93</v>
      </c>
      <c r="H224">
        <v>5.16</v>
      </c>
      <c r="I224">
        <v>7.79</v>
      </c>
      <c r="J224">
        <v>2.5099999999999998</v>
      </c>
      <c r="K224">
        <v>0</v>
      </c>
      <c r="L224">
        <v>62.08</v>
      </c>
      <c r="M224" t="s">
        <v>79</v>
      </c>
      <c r="N224" t="s">
        <v>24</v>
      </c>
      <c r="O224">
        <v>93</v>
      </c>
      <c r="P224">
        <v>4</v>
      </c>
      <c r="Q224" t="s">
        <v>69</v>
      </c>
      <c r="R224" t="s">
        <v>46</v>
      </c>
      <c r="S224">
        <v>0</v>
      </c>
    </row>
    <row r="225" spans="1:19" x14ac:dyDescent="0.45">
      <c r="A225" t="s">
        <v>288</v>
      </c>
      <c r="B225" t="s">
        <v>37</v>
      </c>
      <c r="C225" t="s">
        <v>34</v>
      </c>
      <c r="D225" t="s">
        <v>78</v>
      </c>
      <c r="E225" s="1">
        <v>45552</v>
      </c>
      <c r="F225" s="1">
        <v>45553</v>
      </c>
      <c r="G225">
        <v>30</v>
      </c>
      <c r="H225">
        <v>5.0599999999999996</v>
      </c>
      <c r="I225">
        <v>7.43</v>
      </c>
      <c r="J225">
        <v>2.64</v>
      </c>
      <c r="K225">
        <v>0</v>
      </c>
      <c r="L225">
        <v>36.67</v>
      </c>
      <c r="M225" t="s">
        <v>30</v>
      </c>
      <c r="N225" t="s">
        <v>24</v>
      </c>
      <c r="O225">
        <v>30</v>
      </c>
      <c r="P225">
        <v>9</v>
      </c>
      <c r="Q225" t="s">
        <v>76</v>
      </c>
      <c r="R225" t="s">
        <v>32</v>
      </c>
      <c r="S225">
        <v>0</v>
      </c>
    </row>
    <row r="226" spans="1:19" x14ac:dyDescent="0.45">
      <c r="A226" t="s">
        <v>289</v>
      </c>
      <c r="B226" t="s">
        <v>37</v>
      </c>
      <c r="C226" t="s">
        <v>53</v>
      </c>
      <c r="D226" t="s">
        <v>22</v>
      </c>
      <c r="E226" s="1">
        <v>45393.083333333336</v>
      </c>
      <c r="F226" s="1">
        <v>45394.75</v>
      </c>
      <c r="G226">
        <v>40</v>
      </c>
      <c r="H226">
        <v>4.99</v>
      </c>
      <c r="I226">
        <v>7.76</v>
      </c>
      <c r="J226">
        <v>2.63</v>
      </c>
      <c r="K226">
        <v>0</v>
      </c>
      <c r="L226">
        <v>23.72</v>
      </c>
      <c r="M226" t="s">
        <v>44</v>
      </c>
      <c r="N226" t="s">
        <v>24</v>
      </c>
      <c r="O226">
        <v>40</v>
      </c>
      <c r="P226">
        <v>4</v>
      </c>
      <c r="Q226" t="s">
        <v>69</v>
      </c>
      <c r="R226" t="s">
        <v>46</v>
      </c>
      <c r="S226">
        <v>0</v>
      </c>
    </row>
    <row r="227" spans="1:19" x14ac:dyDescent="0.45">
      <c r="A227" t="s">
        <v>290</v>
      </c>
      <c r="B227" t="s">
        <v>28</v>
      </c>
      <c r="C227" t="s">
        <v>82</v>
      </c>
      <c r="D227" t="s">
        <v>43</v>
      </c>
      <c r="E227" s="1">
        <v>45644.083333333336</v>
      </c>
      <c r="F227" s="1">
        <v>45647.958333333336</v>
      </c>
      <c r="G227">
        <v>93</v>
      </c>
      <c r="H227">
        <v>5.14</v>
      </c>
      <c r="I227">
        <v>7.77</v>
      </c>
      <c r="J227">
        <v>2.5299999999999998</v>
      </c>
      <c r="K227">
        <v>0</v>
      </c>
      <c r="L227">
        <v>36.200000000000003</v>
      </c>
      <c r="M227" t="s">
        <v>44</v>
      </c>
      <c r="N227" t="s">
        <v>24</v>
      </c>
      <c r="O227">
        <v>93</v>
      </c>
      <c r="P227">
        <v>12</v>
      </c>
      <c r="Q227" t="s">
        <v>54</v>
      </c>
      <c r="R227" t="s">
        <v>26</v>
      </c>
      <c r="S227">
        <v>0</v>
      </c>
    </row>
    <row r="228" spans="1:19" x14ac:dyDescent="0.45">
      <c r="A228" t="s">
        <v>291</v>
      </c>
      <c r="B228" t="s">
        <v>48</v>
      </c>
      <c r="C228" t="s">
        <v>21</v>
      </c>
      <c r="D228" t="s">
        <v>56</v>
      </c>
      <c r="E228" s="1">
        <v>45525.75</v>
      </c>
      <c r="F228" s="1">
        <v>45526.75</v>
      </c>
      <c r="G228">
        <v>24</v>
      </c>
      <c r="H228">
        <v>5.61</v>
      </c>
      <c r="I228">
        <v>7.78</v>
      </c>
      <c r="J228">
        <v>2.58</v>
      </c>
      <c r="K228">
        <v>0</v>
      </c>
      <c r="L228">
        <v>25.62</v>
      </c>
      <c r="M228" t="s">
        <v>57</v>
      </c>
      <c r="N228" t="s">
        <v>24</v>
      </c>
      <c r="O228">
        <v>24</v>
      </c>
      <c r="P228">
        <v>8</v>
      </c>
      <c r="Q228" t="s">
        <v>58</v>
      </c>
      <c r="R228" t="s">
        <v>32</v>
      </c>
      <c r="S228">
        <v>0</v>
      </c>
    </row>
    <row r="229" spans="1:19" x14ac:dyDescent="0.45">
      <c r="A229" t="s">
        <v>292</v>
      </c>
      <c r="B229" t="s">
        <v>37</v>
      </c>
      <c r="C229" t="s">
        <v>73</v>
      </c>
      <c r="D229" t="s">
        <v>29</v>
      </c>
      <c r="E229" s="1">
        <v>45646.166666666664</v>
      </c>
      <c r="F229" s="1">
        <v>45648.541666666664</v>
      </c>
      <c r="G229">
        <v>57</v>
      </c>
      <c r="H229">
        <v>6.79</v>
      </c>
      <c r="I229">
        <v>12.21</v>
      </c>
      <c r="J229">
        <v>3.33</v>
      </c>
      <c r="K229">
        <v>13</v>
      </c>
      <c r="L229">
        <v>50.28</v>
      </c>
      <c r="M229" t="s">
        <v>57</v>
      </c>
      <c r="N229" t="s">
        <v>39</v>
      </c>
      <c r="O229">
        <v>57</v>
      </c>
      <c r="P229">
        <v>12</v>
      </c>
      <c r="Q229" t="s">
        <v>54</v>
      </c>
      <c r="R229" t="s">
        <v>26</v>
      </c>
      <c r="S229">
        <v>50.28</v>
      </c>
    </row>
    <row r="230" spans="1:19" x14ac:dyDescent="0.45">
      <c r="A230" t="s">
        <v>293</v>
      </c>
      <c r="B230" t="s">
        <v>20</v>
      </c>
      <c r="C230" t="s">
        <v>42</v>
      </c>
      <c r="D230" t="s">
        <v>78</v>
      </c>
      <c r="E230" s="1">
        <v>45645</v>
      </c>
      <c r="F230" s="1">
        <v>45649</v>
      </c>
      <c r="G230">
        <v>84</v>
      </c>
      <c r="H230">
        <v>6.02</v>
      </c>
      <c r="I230">
        <v>12.37</v>
      </c>
      <c r="J230">
        <v>2.5499999999999998</v>
      </c>
      <c r="K230">
        <v>12</v>
      </c>
      <c r="L230">
        <v>11.92</v>
      </c>
      <c r="M230" t="s">
        <v>44</v>
      </c>
      <c r="N230" t="s">
        <v>39</v>
      </c>
      <c r="O230">
        <v>84</v>
      </c>
      <c r="P230">
        <v>12</v>
      </c>
      <c r="Q230" t="s">
        <v>54</v>
      </c>
      <c r="R230" t="s">
        <v>26</v>
      </c>
      <c r="S230">
        <v>11.92</v>
      </c>
    </row>
    <row r="231" spans="1:19" x14ac:dyDescent="0.45">
      <c r="A231" t="s">
        <v>294</v>
      </c>
      <c r="B231" t="s">
        <v>52</v>
      </c>
      <c r="C231" t="s">
        <v>93</v>
      </c>
      <c r="D231" t="s">
        <v>78</v>
      </c>
      <c r="E231" s="1">
        <v>45364.958333333336</v>
      </c>
      <c r="F231" s="1">
        <v>45368.291666666664</v>
      </c>
      <c r="G231">
        <v>80</v>
      </c>
      <c r="H231">
        <v>5.59</v>
      </c>
      <c r="I231">
        <v>11.24</v>
      </c>
      <c r="J231">
        <v>2.57</v>
      </c>
      <c r="K231">
        <v>5</v>
      </c>
      <c r="L231">
        <v>21.88</v>
      </c>
      <c r="M231" t="s">
        <v>75</v>
      </c>
      <c r="N231" t="s">
        <v>39</v>
      </c>
      <c r="O231">
        <v>80</v>
      </c>
      <c r="P231">
        <v>3</v>
      </c>
      <c r="Q231" t="s">
        <v>45</v>
      </c>
      <c r="R231" t="s">
        <v>46</v>
      </c>
      <c r="S231">
        <v>21.88</v>
      </c>
    </row>
    <row r="232" spans="1:19" x14ac:dyDescent="0.45">
      <c r="A232" t="s">
        <v>295</v>
      </c>
      <c r="B232" t="s">
        <v>37</v>
      </c>
      <c r="C232" t="s">
        <v>38</v>
      </c>
      <c r="D232" t="s">
        <v>22</v>
      </c>
      <c r="E232" s="1">
        <v>45322</v>
      </c>
      <c r="F232" s="1">
        <v>45325</v>
      </c>
      <c r="G232">
        <v>80</v>
      </c>
      <c r="H232">
        <v>5.01</v>
      </c>
      <c r="I232">
        <v>7.79</v>
      </c>
      <c r="J232">
        <v>2.6</v>
      </c>
      <c r="K232">
        <v>0</v>
      </c>
      <c r="L232">
        <v>41.03</v>
      </c>
      <c r="M232" t="s">
        <v>106</v>
      </c>
      <c r="N232" t="s">
        <v>24</v>
      </c>
      <c r="O232">
        <v>80</v>
      </c>
      <c r="P232">
        <v>1</v>
      </c>
      <c r="Q232" t="s">
        <v>25</v>
      </c>
      <c r="R232" t="s">
        <v>26</v>
      </c>
      <c r="S232">
        <v>0</v>
      </c>
    </row>
    <row r="233" spans="1:19" x14ac:dyDescent="0.45">
      <c r="A233" t="s">
        <v>296</v>
      </c>
      <c r="B233" t="s">
        <v>48</v>
      </c>
      <c r="C233" t="s">
        <v>38</v>
      </c>
      <c r="D233" t="s">
        <v>78</v>
      </c>
      <c r="E233" s="1">
        <v>45298</v>
      </c>
      <c r="F233" s="1">
        <v>45301</v>
      </c>
      <c r="G233">
        <v>73</v>
      </c>
      <c r="H233">
        <v>5.18</v>
      </c>
      <c r="I233">
        <v>7.75</v>
      </c>
      <c r="J233">
        <v>2.54</v>
      </c>
      <c r="K233">
        <v>0</v>
      </c>
      <c r="L233">
        <v>59.22</v>
      </c>
      <c r="M233" t="s">
        <v>106</v>
      </c>
      <c r="N233" t="s">
        <v>24</v>
      </c>
      <c r="O233">
        <v>73</v>
      </c>
      <c r="P233">
        <v>1</v>
      </c>
      <c r="Q233" t="s">
        <v>25</v>
      </c>
      <c r="R233" t="s">
        <v>26</v>
      </c>
      <c r="S233">
        <v>0</v>
      </c>
    </row>
    <row r="234" spans="1:19" x14ac:dyDescent="0.45">
      <c r="A234" t="s">
        <v>297</v>
      </c>
      <c r="B234" t="s">
        <v>52</v>
      </c>
      <c r="C234" t="s">
        <v>34</v>
      </c>
      <c r="D234" t="s">
        <v>78</v>
      </c>
      <c r="E234" s="1">
        <v>45405.5</v>
      </c>
      <c r="F234" s="1">
        <v>45406.541666666664</v>
      </c>
      <c r="G234">
        <v>25</v>
      </c>
      <c r="H234">
        <v>7.14</v>
      </c>
      <c r="I234">
        <v>12.36</v>
      </c>
      <c r="J234">
        <v>2.54</v>
      </c>
      <c r="K234">
        <v>9</v>
      </c>
      <c r="L234">
        <v>63.71</v>
      </c>
      <c r="M234" t="s">
        <v>35</v>
      </c>
      <c r="N234" t="s">
        <v>39</v>
      </c>
      <c r="O234">
        <v>25</v>
      </c>
      <c r="P234">
        <v>4</v>
      </c>
      <c r="Q234" t="s">
        <v>69</v>
      </c>
      <c r="R234" t="s">
        <v>46</v>
      </c>
      <c r="S234">
        <v>63.71</v>
      </c>
    </row>
    <row r="235" spans="1:19" x14ac:dyDescent="0.45">
      <c r="A235" t="s">
        <v>298</v>
      </c>
      <c r="B235" t="s">
        <v>52</v>
      </c>
      <c r="C235" t="s">
        <v>82</v>
      </c>
      <c r="D235" t="s">
        <v>29</v>
      </c>
      <c r="E235" s="1">
        <v>45437.791666666664</v>
      </c>
      <c r="F235" s="1">
        <v>45438.916666666664</v>
      </c>
      <c r="G235">
        <v>27</v>
      </c>
      <c r="H235">
        <v>5.0199999999999996</v>
      </c>
      <c r="I235">
        <v>7.62</v>
      </c>
      <c r="J235">
        <v>2.64</v>
      </c>
      <c r="K235">
        <v>0</v>
      </c>
      <c r="L235">
        <v>77.03</v>
      </c>
      <c r="M235" t="s">
        <v>106</v>
      </c>
      <c r="N235" t="s">
        <v>24</v>
      </c>
      <c r="O235">
        <v>27</v>
      </c>
      <c r="P235">
        <v>5</v>
      </c>
      <c r="Q235" t="s">
        <v>67</v>
      </c>
      <c r="R235" t="s">
        <v>46</v>
      </c>
      <c r="S235">
        <v>0</v>
      </c>
    </row>
    <row r="236" spans="1:19" x14ac:dyDescent="0.45">
      <c r="A236" t="s">
        <v>299</v>
      </c>
      <c r="B236" t="s">
        <v>48</v>
      </c>
      <c r="C236" t="s">
        <v>73</v>
      </c>
      <c r="D236" t="s">
        <v>56</v>
      </c>
      <c r="E236" s="1">
        <v>45553.291666666664</v>
      </c>
      <c r="F236" s="1">
        <v>45555.5</v>
      </c>
      <c r="G236">
        <v>53</v>
      </c>
      <c r="H236">
        <v>4.91</v>
      </c>
      <c r="I236">
        <v>9.1199999999999992</v>
      </c>
      <c r="J236">
        <v>2.5299999999999998</v>
      </c>
      <c r="K236">
        <v>2</v>
      </c>
      <c r="L236">
        <v>32.72</v>
      </c>
      <c r="M236" t="s">
        <v>44</v>
      </c>
      <c r="N236" t="s">
        <v>109</v>
      </c>
      <c r="O236">
        <v>53</v>
      </c>
      <c r="P236">
        <v>9</v>
      </c>
      <c r="Q236" t="s">
        <v>76</v>
      </c>
      <c r="R236" t="s">
        <v>32</v>
      </c>
      <c r="S236">
        <v>0</v>
      </c>
    </row>
    <row r="237" spans="1:19" x14ac:dyDescent="0.45">
      <c r="A237" t="s">
        <v>300</v>
      </c>
      <c r="B237" t="s">
        <v>52</v>
      </c>
      <c r="C237" t="s">
        <v>93</v>
      </c>
      <c r="D237" t="s">
        <v>56</v>
      </c>
      <c r="E237" s="1">
        <v>45555.666666666664</v>
      </c>
      <c r="F237" s="1">
        <v>45558.041666666664</v>
      </c>
      <c r="G237">
        <v>57</v>
      </c>
      <c r="H237">
        <v>5.19</v>
      </c>
      <c r="I237">
        <v>7.73</v>
      </c>
      <c r="J237">
        <v>2.64</v>
      </c>
      <c r="K237">
        <v>0</v>
      </c>
      <c r="L237">
        <v>47.34</v>
      </c>
      <c r="M237" t="s">
        <v>35</v>
      </c>
      <c r="N237" t="s">
        <v>24</v>
      </c>
      <c r="O237">
        <v>57</v>
      </c>
      <c r="P237">
        <v>9</v>
      </c>
      <c r="Q237" t="s">
        <v>76</v>
      </c>
      <c r="R237" t="s">
        <v>32</v>
      </c>
      <c r="S237">
        <v>0</v>
      </c>
    </row>
    <row r="238" spans="1:19" x14ac:dyDescent="0.45">
      <c r="A238" t="s">
        <v>301</v>
      </c>
      <c r="B238" t="s">
        <v>28</v>
      </c>
      <c r="C238" t="s">
        <v>53</v>
      </c>
      <c r="D238" t="s">
        <v>29</v>
      </c>
      <c r="E238" s="1">
        <v>45293</v>
      </c>
      <c r="F238" s="1">
        <v>45295</v>
      </c>
      <c r="G238">
        <v>37</v>
      </c>
      <c r="H238">
        <v>5.31</v>
      </c>
      <c r="I238">
        <v>7.78</v>
      </c>
      <c r="J238">
        <v>2.94</v>
      </c>
      <c r="K238">
        <v>0</v>
      </c>
      <c r="L238">
        <v>52.12</v>
      </c>
      <c r="M238" t="s">
        <v>106</v>
      </c>
      <c r="N238" t="s">
        <v>24</v>
      </c>
      <c r="O238">
        <v>37</v>
      </c>
      <c r="P238">
        <v>1</v>
      </c>
      <c r="Q238" t="s">
        <v>25</v>
      </c>
      <c r="R238" t="s">
        <v>26</v>
      </c>
      <c r="S238">
        <v>0</v>
      </c>
    </row>
    <row r="239" spans="1:19" x14ac:dyDescent="0.45">
      <c r="A239" t="s">
        <v>302</v>
      </c>
      <c r="B239" t="s">
        <v>37</v>
      </c>
      <c r="C239" t="s">
        <v>82</v>
      </c>
      <c r="D239" t="s">
        <v>78</v>
      </c>
      <c r="E239" s="1">
        <v>45562</v>
      </c>
      <c r="F239" s="1">
        <v>45566</v>
      </c>
      <c r="G239">
        <v>88</v>
      </c>
      <c r="H239">
        <v>6.01</v>
      </c>
      <c r="I239">
        <v>12.3</v>
      </c>
      <c r="J239">
        <v>2.5099999999999998</v>
      </c>
      <c r="K239">
        <v>13</v>
      </c>
      <c r="L239">
        <v>31.04</v>
      </c>
      <c r="M239" t="s">
        <v>23</v>
      </c>
      <c r="N239" t="s">
        <v>39</v>
      </c>
      <c r="O239">
        <v>88</v>
      </c>
      <c r="P239">
        <v>9</v>
      </c>
      <c r="Q239" t="s">
        <v>76</v>
      </c>
      <c r="R239" t="s">
        <v>32</v>
      </c>
      <c r="S239">
        <v>31.04</v>
      </c>
    </row>
    <row r="240" spans="1:19" x14ac:dyDescent="0.45">
      <c r="A240" t="s">
        <v>303</v>
      </c>
      <c r="B240" t="s">
        <v>28</v>
      </c>
      <c r="C240" t="s">
        <v>53</v>
      </c>
      <c r="D240" t="s">
        <v>78</v>
      </c>
      <c r="E240" s="1">
        <v>45340</v>
      </c>
      <c r="F240" s="1">
        <v>45341</v>
      </c>
      <c r="G240">
        <v>22</v>
      </c>
      <c r="H240">
        <v>5.36</v>
      </c>
      <c r="I240">
        <v>7.64</v>
      </c>
      <c r="J240">
        <v>2.56</v>
      </c>
      <c r="K240">
        <v>0</v>
      </c>
      <c r="L240">
        <v>22.64</v>
      </c>
      <c r="M240" t="s">
        <v>57</v>
      </c>
      <c r="N240" t="s">
        <v>24</v>
      </c>
      <c r="O240">
        <v>22</v>
      </c>
      <c r="P240">
        <v>2</v>
      </c>
      <c r="Q240" t="s">
        <v>65</v>
      </c>
      <c r="R240" t="s">
        <v>26</v>
      </c>
      <c r="S240">
        <v>0</v>
      </c>
    </row>
    <row r="241" spans="1:19" x14ac:dyDescent="0.45">
      <c r="A241" t="s">
        <v>304</v>
      </c>
      <c r="B241" t="s">
        <v>28</v>
      </c>
      <c r="C241" t="s">
        <v>53</v>
      </c>
      <c r="D241" t="s">
        <v>22</v>
      </c>
      <c r="E241" s="1">
        <v>45494.625</v>
      </c>
      <c r="F241" s="1">
        <v>45495.25</v>
      </c>
      <c r="G241">
        <v>15</v>
      </c>
      <c r="H241">
        <v>5.26</v>
      </c>
      <c r="I241">
        <v>7.18</v>
      </c>
      <c r="J241">
        <v>2.66</v>
      </c>
      <c r="K241">
        <v>0</v>
      </c>
      <c r="L241">
        <v>33.700000000000003</v>
      </c>
      <c r="M241" t="s">
        <v>44</v>
      </c>
      <c r="N241" t="s">
        <v>24</v>
      </c>
      <c r="O241">
        <v>15</v>
      </c>
      <c r="P241">
        <v>7</v>
      </c>
      <c r="Q241" t="s">
        <v>31</v>
      </c>
      <c r="R241" t="s">
        <v>32</v>
      </c>
      <c r="S241">
        <v>0</v>
      </c>
    </row>
    <row r="242" spans="1:19" x14ac:dyDescent="0.45">
      <c r="A242" t="s">
        <v>305</v>
      </c>
      <c r="B242" t="s">
        <v>52</v>
      </c>
      <c r="C242" t="s">
        <v>73</v>
      </c>
      <c r="D242" t="s">
        <v>50</v>
      </c>
      <c r="E242" s="1">
        <v>45496</v>
      </c>
      <c r="F242" s="1">
        <v>45499</v>
      </c>
      <c r="G242">
        <v>61</v>
      </c>
      <c r="H242">
        <v>5.19</v>
      </c>
      <c r="I242">
        <v>7.75</v>
      </c>
      <c r="J242">
        <v>2.59</v>
      </c>
      <c r="K242">
        <v>0</v>
      </c>
      <c r="L242">
        <v>55.36</v>
      </c>
      <c r="M242" t="s">
        <v>75</v>
      </c>
      <c r="N242" t="s">
        <v>24</v>
      </c>
      <c r="O242">
        <v>61</v>
      </c>
      <c r="P242">
        <v>7</v>
      </c>
      <c r="Q242" t="s">
        <v>31</v>
      </c>
      <c r="R242" t="s">
        <v>32</v>
      </c>
      <c r="S242">
        <v>0</v>
      </c>
    </row>
    <row r="243" spans="1:19" x14ac:dyDescent="0.45">
      <c r="A243" t="s">
        <v>306</v>
      </c>
      <c r="B243" t="s">
        <v>37</v>
      </c>
      <c r="C243" t="s">
        <v>82</v>
      </c>
      <c r="D243" t="s">
        <v>22</v>
      </c>
      <c r="E243" s="1">
        <v>45349.25</v>
      </c>
      <c r="F243" s="1">
        <v>45352.333333333336</v>
      </c>
      <c r="G243">
        <v>74</v>
      </c>
      <c r="H243">
        <v>5.01</v>
      </c>
      <c r="I243">
        <v>7.77</v>
      </c>
      <c r="J243">
        <v>2.5099999999999998</v>
      </c>
      <c r="K243">
        <v>0</v>
      </c>
      <c r="L243">
        <v>58.09</v>
      </c>
      <c r="M243" t="s">
        <v>75</v>
      </c>
      <c r="N243" t="s">
        <v>24</v>
      </c>
      <c r="O243">
        <v>74</v>
      </c>
      <c r="P243">
        <v>2</v>
      </c>
      <c r="Q243" t="s">
        <v>65</v>
      </c>
      <c r="R243" t="s">
        <v>26</v>
      </c>
      <c r="S243">
        <v>0</v>
      </c>
    </row>
    <row r="244" spans="1:19" x14ac:dyDescent="0.45">
      <c r="A244" t="s">
        <v>307</v>
      </c>
      <c r="B244" t="s">
        <v>20</v>
      </c>
      <c r="C244" t="s">
        <v>82</v>
      </c>
      <c r="D244" t="s">
        <v>56</v>
      </c>
      <c r="E244" s="1">
        <v>45649</v>
      </c>
      <c r="F244" s="1">
        <v>45652</v>
      </c>
      <c r="G244">
        <v>88</v>
      </c>
      <c r="H244">
        <v>4.9800000000000004</v>
      </c>
      <c r="I244">
        <v>7.74</v>
      </c>
      <c r="J244">
        <v>2.5099999999999998</v>
      </c>
      <c r="K244">
        <v>0</v>
      </c>
      <c r="L244">
        <v>14.22</v>
      </c>
      <c r="M244" t="s">
        <v>79</v>
      </c>
      <c r="N244" t="s">
        <v>24</v>
      </c>
      <c r="O244">
        <v>88</v>
      </c>
      <c r="P244">
        <v>12</v>
      </c>
      <c r="Q244" t="s">
        <v>54</v>
      </c>
      <c r="R244" t="s">
        <v>26</v>
      </c>
      <c r="S244">
        <v>0</v>
      </c>
    </row>
    <row r="245" spans="1:19" x14ac:dyDescent="0.45">
      <c r="A245" t="s">
        <v>308</v>
      </c>
      <c r="B245" t="s">
        <v>20</v>
      </c>
      <c r="C245" t="s">
        <v>21</v>
      </c>
      <c r="D245" t="s">
        <v>22</v>
      </c>
      <c r="E245" s="1">
        <v>45337</v>
      </c>
      <c r="F245" s="1">
        <v>45341</v>
      </c>
      <c r="G245">
        <v>92</v>
      </c>
      <c r="H245">
        <v>5.95</v>
      </c>
      <c r="I245">
        <v>12.27</v>
      </c>
      <c r="J245">
        <v>2.52</v>
      </c>
      <c r="K245">
        <v>15</v>
      </c>
      <c r="L245">
        <v>72.540000000000006</v>
      </c>
      <c r="M245" t="s">
        <v>44</v>
      </c>
      <c r="N245" t="s">
        <v>39</v>
      </c>
      <c r="O245">
        <v>92</v>
      </c>
      <c r="P245">
        <v>2</v>
      </c>
      <c r="Q245" t="s">
        <v>65</v>
      </c>
      <c r="R245" t="s">
        <v>26</v>
      </c>
      <c r="S245">
        <v>72.540000000000006</v>
      </c>
    </row>
    <row r="246" spans="1:19" x14ac:dyDescent="0.45">
      <c r="A246" t="s">
        <v>309</v>
      </c>
      <c r="B246" t="s">
        <v>37</v>
      </c>
      <c r="C246" t="s">
        <v>34</v>
      </c>
      <c r="D246" t="s">
        <v>78</v>
      </c>
      <c r="E246" s="1">
        <v>45635.416666666664</v>
      </c>
      <c r="F246" s="1">
        <v>45637.791666666664</v>
      </c>
      <c r="G246">
        <v>57</v>
      </c>
      <c r="H246">
        <v>5.34</v>
      </c>
      <c r="I246">
        <v>9.31</v>
      </c>
      <c r="J246">
        <v>2.74</v>
      </c>
      <c r="K246">
        <v>4</v>
      </c>
      <c r="L246">
        <v>73.290000000000006</v>
      </c>
      <c r="M246" t="s">
        <v>75</v>
      </c>
      <c r="N246" t="s">
        <v>109</v>
      </c>
      <c r="O246">
        <v>57</v>
      </c>
      <c r="P246">
        <v>12</v>
      </c>
      <c r="Q246" t="s">
        <v>54</v>
      </c>
      <c r="R246" t="s">
        <v>26</v>
      </c>
      <c r="S246">
        <v>0</v>
      </c>
    </row>
    <row r="247" spans="1:19" x14ac:dyDescent="0.45">
      <c r="A247" t="s">
        <v>310</v>
      </c>
      <c r="B247" t="s">
        <v>28</v>
      </c>
      <c r="C247" t="s">
        <v>73</v>
      </c>
      <c r="D247" t="s">
        <v>22</v>
      </c>
      <c r="E247" s="1">
        <v>45352</v>
      </c>
      <c r="F247" s="1">
        <v>45355.708333333336</v>
      </c>
      <c r="G247">
        <v>89</v>
      </c>
      <c r="H247">
        <v>5.19</v>
      </c>
      <c r="I247">
        <v>7.66</v>
      </c>
      <c r="J247">
        <v>2.52</v>
      </c>
      <c r="K247">
        <v>0</v>
      </c>
      <c r="L247">
        <v>71.459999999999994</v>
      </c>
      <c r="M247" t="s">
        <v>23</v>
      </c>
      <c r="N247" t="s">
        <v>24</v>
      </c>
      <c r="O247">
        <v>89</v>
      </c>
      <c r="P247">
        <v>3</v>
      </c>
      <c r="Q247" t="s">
        <v>45</v>
      </c>
      <c r="R247" t="s">
        <v>46</v>
      </c>
      <c r="S247">
        <v>0</v>
      </c>
    </row>
    <row r="248" spans="1:19" x14ac:dyDescent="0.45">
      <c r="A248" t="s">
        <v>311</v>
      </c>
      <c r="B248" t="s">
        <v>20</v>
      </c>
      <c r="C248" t="s">
        <v>34</v>
      </c>
      <c r="D248" t="s">
        <v>22</v>
      </c>
      <c r="E248" s="1">
        <v>45617.708333333336</v>
      </c>
      <c r="F248" s="1">
        <v>45618.75</v>
      </c>
      <c r="G248">
        <v>25</v>
      </c>
      <c r="H248">
        <v>5.19</v>
      </c>
      <c r="I248">
        <v>12.32</v>
      </c>
      <c r="J248">
        <v>2.63</v>
      </c>
      <c r="K248">
        <v>11</v>
      </c>
      <c r="L248">
        <v>36.4</v>
      </c>
      <c r="M248" t="s">
        <v>44</v>
      </c>
      <c r="N248" t="s">
        <v>39</v>
      </c>
      <c r="O248">
        <v>25</v>
      </c>
      <c r="P248">
        <v>11</v>
      </c>
      <c r="Q248" t="s">
        <v>89</v>
      </c>
      <c r="R248" t="s">
        <v>62</v>
      </c>
      <c r="S248">
        <v>36.4</v>
      </c>
    </row>
    <row r="249" spans="1:19" x14ac:dyDescent="0.45">
      <c r="A249" t="s">
        <v>312</v>
      </c>
      <c r="B249" t="s">
        <v>48</v>
      </c>
      <c r="C249" t="s">
        <v>21</v>
      </c>
      <c r="D249" t="s">
        <v>78</v>
      </c>
      <c r="E249" s="1">
        <v>45296.708333333336</v>
      </c>
      <c r="F249" s="1">
        <v>45299.625</v>
      </c>
      <c r="G249">
        <v>70</v>
      </c>
      <c r="H249">
        <v>5.25</v>
      </c>
      <c r="I249">
        <v>7.8</v>
      </c>
      <c r="J249">
        <v>2.69</v>
      </c>
      <c r="K249">
        <v>0</v>
      </c>
      <c r="L249">
        <v>28.69</v>
      </c>
      <c r="M249" t="s">
        <v>23</v>
      </c>
      <c r="N249" t="s">
        <v>24</v>
      </c>
      <c r="O249">
        <v>70</v>
      </c>
      <c r="P249">
        <v>1</v>
      </c>
      <c r="Q249" t="s">
        <v>25</v>
      </c>
      <c r="R249" t="s">
        <v>26</v>
      </c>
      <c r="S249">
        <v>0</v>
      </c>
    </row>
    <row r="250" spans="1:19" x14ac:dyDescent="0.45">
      <c r="A250" t="s">
        <v>313</v>
      </c>
      <c r="B250" t="s">
        <v>28</v>
      </c>
      <c r="C250" t="s">
        <v>93</v>
      </c>
      <c r="D250" t="s">
        <v>22</v>
      </c>
      <c r="E250" s="1">
        <v>45489.708333333336</v>
      </c>
      <c r="F250" s="1">
        <v>45491.125</v>
      </c>
      <c r="G250">
        <v>34</v>
      </c>
      <c r="H250">
        <v>4.82</v>
      </c>
      <c r="I250">
        <v>7.48</v>
      </c>
      <c r="J250">
        <v>2.8</v>
      </c>
      <c r="K250">
        <v>0</v>
      </c>
      <c r="L250">
        <v>39.21</v>
      </c>
      <c r="M250" t="s">
        <v>57</v>
      </c>
      <c r="N250" t="s">
        <v>24</v>
      </c>
      <c r="O250">
        <v>34</v>
      </c>
      <c r="P250">
        <v>7</v>
      </c>
      <c r="Q250" t="s">
        <v>31</v>
      </c>
      <c r="R250" t="s">
        <v>32</v>
      </c>
      <c r="S250">
        <v>0</v>
      </c>
    </row>
    <row r="251" spans="1:19" x14ac:dyDescent="0.45">
      <c r="A251" t="s">
        <v>314</v>
      </c>
      <c r="B251" t="s">
        <v>37</v>
      </c>
      <c r="C251" t="s">
        <v>73</v>
      </c>
      <c r="D251" t="s">
        <v>78</v>
      </c>
      <c r="E251" s="1">
        <v>45554</v>
      </c>
      <c r="F251" s="1">
        <v>45557</v>
      </c>
      <c r="G251">
        <v>79</v>
      </c>
      <c r="H251">
        <v>5.38</v>
      </c>
      <c r="I251">
        <v>9.4600000000000009</v>
      </c>
      <c r="J251">
        <v>2.63</v>
      </c>
      <c r="K251">
        <v>3</v>
      </c>
      <c r="L251">
        <v>42.08</v>
      </c>
      <c r="M251" t="s">
        <v>57</v>
      </c>
      <c r="N251" t="s">
        <v>109</v>
      </c>
      <c r="O251">
        <v>79</v>
      </c>
      <c r="P251">
        <v>9</v>
      </c>
      <c r="Q251" t="s">
        <v>76</v>
      </c>
      <c r="R251" t="s">
        <v>32</v>
      </c>
      <c r="S251">
        <v>0</v>
      </c>
    </row>
    <row r="252" spans="1:19" x14ac:dyDescent="0.45">
      <c r="A252" t="s">
        <v>315</v>
      </c>
      <c r="B252" t="s">
        <v>20</v>
      </c>
      <c r="C252" t="s">
        <v>34</v>
      </c>
      <c r="D252" t="s">
        <v>56</v>
      </c>
      <c r="E252" s="1">
        <v>45614</v>
      </c>
      <c r="F252" s="1">
        <v>45618</v>
      </c>
      <c r="G252">
        <v>82</v>
      </c>
      <c r="H252">
        <v>5.14</v>
      </c>
      <c r="I252">
        <v>7.7</v>
      </c>
      <c r="J252">
        <v>2.61</v>
      </c>
      <c r="K252">
        <v>0</v>
      </c>
      <c r="L252">
        <v>26.26</v>
      </c>
      <c r="M252" t="s">
        <v>106</v>
      </c>
      <c r="N252" t="s">
        <v>24</v>
      </c>
      <c r="O252">
        <v>82</v>
      </c>
      <c r="P252">
        <v>11</v>
      </c>
      <c r="Q252" t="s">
        <v>89</v>
      </c>
      <c r="R252" t="s">
        <v>62</v>
      </c>
      <c r="S252">
        <v>0</v>
      </c>
    </row>
    <row r="253" spans="1:19" x14ac:dyDescent="0.45">
      <c r="A253" t="s">
        <v>316</v>
      </c>
      <c r="B253" t="s">
        <v>52</v>
      </c>
      <c r="C253" t="s">
        <v>21</v>
      </c>
      <c r="D253" t="s">
        <v>78</v>
      </c>
      <c r="E253" s="1">
        <v>45466.708333333336</v>
      </c>
      <c r="F253" s="1">
        <v>45469.75</v>
      </c>
      <c r="G253">
        <v>73</v>
      </c>
      <c r="H253">
        <v>5.19</v>
      </c>
      <c r="I253">
        <v>7.73</v>
      </c>
      <c r="J253">
        <v>2.52</v>
      </c>
      <c r="K253">
        <v>0</v>
      </c>
      <c r="L253">
        <v>32.11</v>
      </c>
      <c r="M253" t="s">
        <v>79</v>
      </c>
      <c r="N253" t="s">
        <v>24</v>
      </c>
      <c r="O253">
        <v>73</v>
      </c>
      <c r="P253">
        <v>6</v>
      </c>
      <c r="Q253" t="s">
        <v>40</v>
      </c>
      <c r="R253" t="s">
        <v>32</v>
      </c>
      <c r="S253">
        <v>0</v>
      </c>
    </row>
    <row r="254" spans="1:19" x14ac:dyDescent="0.45">
      <c r="A254" t="s">
        <v>317</v>
      </c>
      <c r="B254" t="s">
        <v>28</v>
      </c>
      <c r="C254" t="s">
        <v>53</v>
      </c>
      <c r="D254" t="s">
        <v>50</v>
      </c>
      <c r="E254" s="1">
        <v>45392.875</v>
      </c>
      <c r="F254" s="1">
        <v>45394.833333333336</v>
      </c>
      <c r="G254">
        <v>47</v>
      </c>
      <c r="H254">
        <v>4.9000000000000004</v>
      </c>
      <c r="I254">
        <v>7.5</v>
      </c>
      <c r="J254">
        <v>2.77</v>
      </c>
      <c r="K254">
        <v>0</v>
      </c>
      <c r="L254">
        <v>11.17</v>
      </c>
      <c r="M254" t="s">
        <v>106</v>
      </c>
      <c r="N254" t="s">
        <v>24</v>
      </c>
      <c r="O254">
        <v>47</v>
      </c>
      <c r="P254">
        <v>4</v>
      </c>
      <c r="Q254" t="s">
        <v>69</v>
      </c>
      <c r="R254" t="s">
        <v>46</v>
      </c>
      <c r="S254">
        <v>0</v>
      </c>
    </row>
    <row r="255" spans="1:19" x14ac:dyDescent="0.45">
      <c r="A255" t="s">
        <v>318</v>
      </c>
      <c r="B255" t="s">
        <v>48</v>
      </c>
      <c r="C255" t="s">
        <v>34</v>
      </c>
      <c r="D255" t="s">
        <v>78</v>
      </c>
      <c r="E255" s="1">
        <v>45460.125</v>
      </c>
      <c r="F255" s="1">
        <v>45463.416666666664</v>
      </c>
      <c r="G255">
        <v>79</v>
      </c>
      <c r="H255">
        <v>4.95</v>
      </c>
      <c r="I255">
        <v>7.69</v>
      </c>
      <c r="J255">
        <v>2.6</v>
      </c>
      <c r="K255">
        <v>0</v>
      </c>
      <c r="L255">
        <v>78.7</v>
      </c>
      <c r="M255" t="s">
        <v>44</v>
      </c>
      <c r="N255" t="s">
        <v>24</v>
      </c>
      <c r="O255">
        <v>79</v>
      </c>
      <c r="P255">
        <v>6</v>
      </c>
      <c r="Q255" t="s">
        <v>40</v>
      </c>
      <c r="R255" t="s">
        <v>32</v>
      </c>
      <c r="S255">
        <v>0</v>
      </c>
    </row>
    <row r="256" spans="1:19" x14ac:dyDescent="0.45">
      <c r="A256" t="s">
        <v>319</v>
      </c>
      <c r="B256" t="s">
        <v>28</v>
      </c>
      <c r="C256" t="s">
        <v>82</v>
      </c>
      <c r="D256" t="s">
        <v>78</v>
      </c>
      <c r="E256" s="1">
        <v>45620</v>
      </c>
      <c r="F256" s="1">
        <v>45622</v>
      </c>
      <c r="G256">
        <v>71</v>
      </c>
      <c r="H256">
        <v>4.88</v>
      </c>
      <c r="I256">
        <v>7.73</v>
      </c>
      <c r="J256">
        <v>2.5299999999999998</v>
      </c>
      <c r="K256">
        <v>0</v>
      </c>
      <c r="L256">
        <v>61.7</v>
      </c>
      <c r="M256" t="s">
        <v>35</v>
      </c>
      <c r="N256" t="s">
        <v>24</v>
      </c>
      <c r="O256">
        <v>71</v>
      </c>
      <c r="P256">
        <v>11</v>
      </c>
      <c r="Q256" t="s">
        <v>89</v>
      </c>
      <c r="R256" t="s">
        <v>62</v>
      </c>
      <c r="S256">
        <v>0</v>
      </c>
    </row>
    <row r="257" spans="1:19" x14ac:dyDescent="0.45">
      <c r="A257" t="s">
        <v>320</v>
      </c>
      <c r="B257" t="s">
        <v>52</v>
      </c>
      <c r="C257" t="s">
        <v>38</v>
      </c>
      <c r="D257" t="s">
        <v>56</v>
      </c>
      <c r="E257" s="1">
        <v>45636.375</v>
      </c>
      <c r="F257" s="1">
        <v>45637.333333333336</v>
      </c>
      <c r="G257">
        <v>23</v>
      </c>
      <c r="H257">
        <v>5.4</v>
      </c>
      <c r="I257">
        <v>7.76</v>
      </c>
      <c r="J257">
        <v>2.57</v>
      </c>
      <c r="K257">
        <v>0</v>
      </c>
      <c r="L257">
        <v>78.88</v>
      </c>
      <c r="M257" t="s">
        <v>75</v>
      </c>
      <c r="N257" t="s">
        <v>24</v>
      </c>
      <c r="O257">
        <v>23</v>
      </c>
      <c r="P257">
        <v>12</v>
      </c>
      <c r="Q257" t="s">
        <v>54</v>
      </c>
      <c r="R257" t="s">
        <v>26</v>
      </c>
      <c r="S257">
        <v>0</v>
      </c>
    </row>
    <row r="258" spans="1:19" x14ac:dyDescent="0.45">
      <c r="A258" t="s">
        <v>321</v>
      </c>
      <c r="B258" t="s">
        <v>37</v>
      </c>
      <c r="C258" t="s">
        <v>82</v>
      </c>
      <c r="D258" t="s">
        <v>29</v>
      </c>
      <c r="E258" s="1">
        <v>45464.25</v>
      </c>
      <c r="F258" s="1">
        <v>45465.458333333336</v>
      </c>
      <c r="G258">
        <v>29</v>
      </c>
      <c r="H258">
        <v>4.91</v>
      </c>
      <c r="I258">
        <v>7.59</v>
      </c>
      <c r="J258">
        <v>2.78</v>
      </c>
      <c r="K258">
        <v>0</v>
      </c>
      <c r="L258">
        <v>23.17</v>
      </c>
      <c r="M258" t="s">
        <v>79</v>
      </c>
      <c r="N258" t="s">
        <v>24</v>
      </c>
      <c r="O258">
        <v>29</v>
      </c>
      <c r="P258">
        <v>6</v>
      </c>
      <c r="Q258" t="s">
        <v>40</v>
      </c>
      <c r="R258" t="s">
        <v>32</v>
      </c>
      <c r="S258">
        <v>0</v>
      </c>
    </row>
    <row r="259" spans="1:19" x14ac:dyDescent="0.45">
      <c r="A259" t="s">
        <v>322</v>
      </c>
      <c r="B259" t="s">
        <v>37</v>
      </c>
      <c r="C259" t="s">
        <v>38</v>
      </c>
      <c r="D259" t="s">
        <v>78</v>
      </c>
      <c r="E259" s="1">
        <v>45328.208333333336</v>
      </c>
      <c r="F259" s="1">
        <v>45328.791666666664</v>
      </c>
      <c r="G259">
        <v>14</v>
      </c>
      <c r="H259">
        <v>7</v>
      </c>
      <c r="I259">
        <v>11.83</v>
      </c>
      <c r="J259">
        <v>3.04</v>
      </c>
      <c r="K259">
        <v>5</v>
      </c>
      <c r="L259">
        <v>68.19</v>
      </c>
      <c r="M259" t="s">
        <v>79</v>
      </c>
      <c r="N259" t="s">
        <v>39</v>
      </c>
      <c r="O259">
        <v>14</v>
      </c>
      <c r="P259">
        <v>2</v>
      </c>
      <c r="Q259" t="s">
        <v>65</v>
      </c>
      <c r="R259" t="s">
        <v>26</v>
      </c>
      <c r="S259">
        <v>68.19</v>
      </c>
    </row>
    <row r="260" spans="1:19" x14ac:dyDescent="0.45">
      <c r="A260" t="s">
        <v>323</v>
      </c>
      <c r="B260" t="s">
        <v>20</v>
      </c>
      <c r="C260" t="s">
        <v>42</v>
      </c>
      <c r="D260" t="s">
        <v>29</v>
      </c>
      <c r="E260" s="1">
        <v>45477</v>
      </c>
      <c r="F260" s="1">
        <v>45481</v>
      </c>
      <c r="G260">
        <v>83</v>
      </c>
      <c r="H260">
        <v>6.12</v>
      </c>
      <c r="I260">
        <v>12.49</v>
      </c>
      <c r="J260">
        <v>2.5</v>
      </c>
      <c r="K260">
        <v>13</v>
      </c>
      <c r="L260">
        <v>31.16</v>
      </c>
      <c r="M260" t="s">
        <v>79</v>
      </c>
      <c r="N260" t="s">
        <v>39</v>
      </c>
      <c r="O260">
        <v>83</v>
      </c>
      <c r="P260">
        <v>7</v>
      </c>
      <c r="Q260" t="s">
        <v>31</v>
      </c>
      <c r="R260" t="s">
        <v>32</v>
      </c>
      <c r="S260">
        <v>31.16</v>
      </c>
    </row>
    <row r="261" spans="1:19" x14ac:dyDescent="0.45">
      <c r="A261" t="s">
        <v>324</v>
      </c>
      <c r="B261" t="s">
        <v>28</v>
      </c>
      <c r="C261" t="s">
        <v>42</v>
      </c>
      <c r="D261" t="s">
        <v>29</v>
      </c>
      <c r="E261" s="1">
        <v>45485.708333333336</v>
      </c>
      <c r="F261" s="1">
        <v>45488.708333333336</v>
      </c>
      <c r="G261">
        <v>72</v>
      </c>
      <c r="H261">
        <v>5.69</v>
      </c>
      <c r="I261">
        <v>9.49</v>
      </c>
      <c r="J261">
        <v>3.04</v>
      </c>
      <c r="K261">
        <v>4</v>
      </c>
      <c r="L261">
        <v>9.2100000000000009</v>
      </c>
      <c r="M261" t="s">
        <v>44</v>
      </c>
      <c r="N261" t="s">
        <v>109</v>
      </c>
      <c r="O261">
        <v>72</v>
      </c>
      <c r="P261">
        <v>7</v>
      </c>
      <c r="Q261" t="s">
        <v>31</v>
      </c>
      <c r="R261" t="s">
        <v>32</v>
      </c>
      <c r="S261">
        <v>0</v>
      </c>
    </row>
    <row r="262" spans="1:19" x14ac:dyDescent="0.45">
      <c r="A262" t="s">
        <v>325</v>
      </c>
      <c r="B262" t="s">
        <v>20</v>
      </c>
      <c r="C262" t="s">
        <v>42</v>
      </c>
      <c r="D262" t="s">
        <v>78</v>
      </c>
      <c r="E262" s="1">
        <v>45447.458333333336</v>
      </c>
      <c r="F262" s="1">
        <v>45450.25</v>
      </c>
      <c r="G262">
        <v>67</v>
      </c>
      <c r="H262">
        <v>4.87</v>
      </c>
      <c r="I262">
        <v>7.77</v>
      </c>
      <c r="J262">
        <v>2.56</v>
      </c>
      <c r="K262">
        <v>0</v>
      </c>
      <c r="L262">
        <v>8.41</v>
      </c>
      <c r="M262" t="s">
        <v>57</v>
      </c>
      <c r="N262" t="s">
        <v>24</v>
      </c>
      <c r="O262">
        <v>67</v>
      </c>
      <c r="P262">
        <v>6</v>
      </c>
      <c r="Q262" t="s">
        <v>40</v>
      </c>
      <c r="R262" t="s">
        <v>32</v>
      </c>
      <c r="S262">
        <v>0</v>
      </c>
    </row>
    <row r="263" spans="1:19" x14ac:dyDescent="0.45">
      <c r="A263" t="s">
        <v>326</v>
      </c>
      <c r="B263" t="s">
        <v>52</v>
      </c>
      <c r="C263" t="s">
        <v>34</v>
      </c>
      <c r="D263" t="s">
        <v>22</v>
      </c>
      <c r="E263" s="1">
        <v>45516</v>
      </c>
      <c r="F263" s="1">
        <v>45518</v>
      </c>
      <c r="G263">
        <v>56</v>
      </c>
      <c r="H263">
        <v>4.83</v>
      </c>
      <c r="I263">
        <v>7.79</v>
      </c>
      <c r="J263">
        <v>2.5</v>
      </c>
      <c r="K263">
        <v>0</v>
      </c>
      <c r="L263">
        <v>57.62</v>
      </c>
      <c r="M263" t="s">
        <v>57</v>
      </c>
      <c r="N263" t="s">
        <v>24</v>
      </c>
      <c r="O263">
        <v>56</v>
      </c>
      <c r="P263">
        <v>8</v>
      </c>
      <c r="Q263" t="s">
        <v>58</v>
      </c>
      <c r="R263" t="s">
        <v>32</v>
      </c>
      <c r="S263">
        <v>0</v>
      </c>
    </row>
    <row r="264" spans="1:19" x14ac:dyDescent="0.45">
      <c r="A264" t="s">
        <v>327</v>
      </c>
      <c r="B264" t="s">
        <v>28</v>
      </c>
      <c r="C264" t="s">
        <v>34</v>
      </c>
      <c r="D264" t="s">
        <v>29</v>
      </c>
      <c r="E264" s="1">
        <v>45560.375</v>
      </c>
      <c r="F264" s="1">
        <v>45564.25</v>
      </c>
      <c r="G264">
        <v>93</v>
      </c>
      <c r="H264">
        <v>5.34</v>
      </c>
      <c r="I264">
        <v>11.89</v>
      </c>
      <c r="J264">
        <v>2.5099999999999998</v>
      </c>
      <c r="K264">
        <v>4</v>
      </c>
      <c r="L264">
        <v>78.510000000000005</v>
      </c>
      <c r="M264" t="s">
        <v>75</v>
      </c>
      <c r="N264" t="s">
        <v>109</v>
      </c>
      <c r="O264">
        <v>93</v>
      </c>
      <c r="P264">
        <v>9</v>
      </c>
      <c r="Q264" t="s">
        <v>76</v>
      </c>
      <c r="R264" t="s">
        <v>32</v>
      </c>
      <c r="S264">
        <v>0</v>
      </c>
    </row>
    <row r="265" spans="1:19" x14ac:dyDescent="0.45">
      <c r="A265" t="s">
        <v>328</v>
      </c>
      <c r="B265" t="s">
        <v>48</v>
      </c>
      <c r="C265" t="s">
        <v>21</v>
      </c>
      <c r="D265" t="s">
        <v>56</v>
      </c>
      <c r="E265" s="1">
        <v>45642.541666666664</v>
      </c>
      <c r="F265" s="1">
        <v>45643.166666666664</v>
      </c>
      <c r="G265">
        <v>15</v>
      </c>
      <c r="H265">
        <v>8.5399999999999991</v>
      </c>
      <c r="I265">
        <v>7.75</v>
      </c>
      <c r="J265">
        <v>3</v>
      </c>
      <c r="K265">
        <v>10</v>
      </c>
      <c r="L265">
        <v>66.95</v>
      </c>
      <c r="M265" t="s">
        <v>106</v>
      </c>
      <c r="N265" t="s">
        <v>39</v>
      </c>
      <c r="O265">
        <v>15</v>
      </c>
      <c r="P265">
        <v>12</v>
      </c>
      <c r="Q265" t="s">
        <v>54</v>
      </c>
      <c r="R265" t="s">
        <v>26</v>
      </c>
      <c r="S265">
        <v>66.95</v>
      </c>
    </row>
    <row r="266" spans="1:19" x14ac:dyDescent="0.45">
      <c r="A266" t="s">
        <v>329</v>
      </c>
      <c r="B266" t="s">
        <v>52</v>
      </c>
      <c r="C266" t="s">
        <v>93</v>
      </c>
      <c r="D266" t="s">
        <v>43</v>
      </c>
      <c r="E266" s="1">
        <v>45466</v>
      </c>
      <c r="F266" s="1">
        <v>45468</v>
      </c>
      <c r="G266">
        <v>36</v>
      </c>
      <c r="H266">
        <v>4.97</v>
      </c>
      <c r="I266">
        <v>7.67</v>
      </c>
      <c r="J266">
        <v>2.5299999999999998</v>
      </c>
      <c r="K266">
        <v>0</v>
      </c>
      <c r="L266">
        <v>21.99</v>
      </c>
      <c r="M266" t="s">
        <v>75</v>
      </c>
      <c r="N266" t="s">
        <v>24</v>
      </c>
      <c r="O266">
        <v>36</v>
      </c>
      <c r="P266">
        <v>6</v>
      </c>
      <c r="Q266" t="s">
        <v>40</v>
      </c>
      <c r="R266" t="s">
        <v>32</v>
      </c>
      <c r="S266">
        <v>0</v>
      </c>
    </row>
    <row r="267" spans="1:19" x14ac:dyDescent="0.45">
      <c r="A267" t="s">
        <v>330</v>
      </c>
      <c r="B267" t="s">
        <v>52</v>
      </c>
      <c r="C267" t="s">
        <v>38</v>
      </c>
      <c r="D267" t="s">
        <v>43</v>
      </c>
      <c r="E267" s="1">
        <v>45360.958333333336</v>
      </c>
      <c r="F267" s="1">
        <v>45364.25</v>
      </c>
      <c r="G267">
        <v>79</v>
      </c>
      <c r="H267">
        <v>4.9400000000000004</v>
      </c>
      <c r="I267">
        <v>7.78</v>
      </c>
      <c r="J267">
        <v>2.61</v>
      </c>
      <c r="K267">
        <v>0</v>
      </c>
      <c r="L267">
        <v>20.440000000000001</v>
      </c>
      <c r="M267" t="s">
        <v>44</v>
      </c>
      <c r="N267" t="s">
        <v>24</v>
      </c>
      <c r="O267">
        <v>79</v>
      </c>
      <c r="P267">
        <v>3</v>
      </c>
      <c r="Q267" t="s">
        <v>45</v>
      </c>
      <c r="R267" t="s">
        <v>46</v>
      </c>
      <c r="S267">
        <v>0</v>
      </c>
    </row>
    <row r="268" spans="1:19" x14ac:dyDescent="0.45">
      <c r="A268" t="s">
        <v>331</v>
      </c>
      <c r="B268" t="s">
        <v>20</v>
      </c>
      <c r="C268" t="s">
        <v>82</v>
      </c>
      <c r="D268" t="s">
        <v>78</v>
      </c>
      <c r="E268" s="1">
        <v>45462</v>
      </c>
      <c r="F268" s="1">
        <v>45464</v>
      </c>
      <c r="G268">
        <v>50</v>
      </c>
      <c r="H268">
        <v>5.46</v>
      </c>
      <c r="I268">
        <v>7.8</v>
      </c>
      <c r="J268">
        <v>2.52</v>
      </c>
      <c r="K268">
        <v>0</v>
      </c>
      <c r="L268">
        <v>35.049999999999997</v>
      </c>
      <c r="M268" t="s">
        <v>35</v>
      </c>
      <c r="N268" t="s">
        <v>24</v>
      </c>
      <c r="O268">
        <v>50</v>
      </c>
      <c r="P268">
        <v>6</v>
      </c>
      <c r="Q268" t="s">
        <v>40</v>
      </c>
      <c r="R268" t="s">
        <v>32</v>
      </c>
      <c r="S268">
        <v>0</v>
      </c>
    </row>
    <row r="269" spans="1:19" x14ac:dyDescent="0.45">
      <c r="A269" t="s">
        <v>332</v>
      </c>
      <c r="B269" t="s">
        <v>48</v>
      </c>
      <c r="C269" t="s">
        <v>38</v>
      </c>
      <c r="D269" t="s">
        <v>56</v>
      </c>
      <c r="E269" s="1">
        <v>45560.666666666664</v>
      </c>
      <c r="F269" s="1">
        <v>45561.375</v>
      </c>
      <c r="G269">
        <v>17</v>
      </c>
      <c r="H269">
        <v>4.7300000000000004</v>
      </c>
      <c r="I269">
        <v>7.76</v>
      </c>
      <c r="J269">
        <v>2.9</v>
      </c>
      <c r="K269">
        <v>0</v>
      </c>
      <c r="L269">
        <v>40.83</v>
      </c>
      <c r="M269" t="s">
        <v>79</v>
      </c>
      <c r="N269" t="s">
        <v>24</v>
      </c>
      <c r="O269">
        <v>17</v>
      </c>
      <c r="P269">
        <v>9</v>
      </c>
      <c r="Q269" t="s">
        <v>76</v>
      </c>
      <c r="R269" t="s">
        <v>32</v>
      </c>
      <c r="S269">
        <v>0</v>
      </c>
    </row>
    <row r="270" spans="1:19" x14ac:dyDescent="0.45">
      <c r="A270" t="s">
        <v>333</v>
      </c>
      <c r="B270" t="s">
        <v>28</v>
      </c>
      <c r="C270" t="s">
        <v>42</v>
      </c>
      <c r="D270" t="s">
        <v>56</v>
      </c>
      <c r="E270" s="1">
        <v>45324.125</v>
      </c>
      <c r="F270" s="1">
        <v>45327.208333333336</v>
      </c>
      <c r="G270">
        <v>74</v>
      </c>
      <c r="H270">
        <v>5.29</v>
      </c>
      <c r="I270">
        <v>7.78</v>
      </c>
      <c r="J270">
        <v>2.6</v>
      </c>
      <c r="K270">
        <v>0</v>
      </c>
      <c r="L270">
        <v>9.1300000000000008</v>
      </c>
      <c r="M270" t="s">
        <v>79</v>
      </c>
      <c r="N270" t="s">
        <v>24</v>
      </c>
      <c r="O270">
        <v>74</v>
      </c>
      <c r="P270">
        <v>2</v>
      </c>
      <c r="Q270" t="s">
        <v>65</v>
      </c>
      <c r="R270" t="s">
        <v>26</v>
      </c>
      <c r="S270">
        <v>0</v>
      </c>
    </row>
    <row r="271" spans="1:19" x14ac:dyDescent="0.45">
      <c r="A271" t="s">
        <v>334</v>
      </c>
      <c r="B271" t="s">
        <v>20</v>
      </c>
      <c r="C271" t="s">
        <v>53</v>
      </c>
      <c r="D271" t="s">
        <v>43</v>
      </c>
      <c r="E271" s="1">
        <v>45620.541666666664</v>
      </c>
      <c r="F271" s="1">
        <v>45623.458333333336</v>
      </c>
      <c r="G271">
        <v>70</v>
      </c>
      <c r="H271">
        <v>5.31</v>
      </c>
      <c r="I271">
        <v>7.72</v>
      </c>
      <c r="J271">
        <v>2.63</v>
      </c>
      <c r="K271">
        <v>0</v>
      </c>
      <c r="L271">
        <v>72.02</v>
      </c>
      <c r="M271" t="s">
        <v>75</v>
      </c>
      <c r="N271" t="s">
        <v>24</v>
      </c>
      <c r="O271">
        <v>70</v>
      </c>
      <c r="P271">
        <v>11</v>
      </c>
      <c r="Q271" t="s">
        <v>89</v>
      </c>
      <c r="R271" t="s">
        <v>62</v>
      </c>
      <c r="S271">
        <v>0</v>
      </c>
    </row>
    <row r="272" spans="1:19" x14ac:dyDescent="0.45">
      <c r="A272" t="s">
        <v>335</v>
      </c>
      <c r="B272" t="s">
        <v>48</v>
      </c>
      <c r="C272" t="s">
        <v>73</v>
      </c>
      <c r="D272" t="s">
        <v>29</v>
      </c>
      <c r="E272" s="1">
        <v>45633.916666666664</v>
      </c>
      <c r="F272" s="1">
        <v>45634.833333333336</v>
      </c>
      <c r="G272">
        <v>22</v>
      </c>
      <c r="H272">
        <v>8.34</v>
      </c>
      <c r="I272">
        <v>12.48</v>
      </c>
      <c r="J272">
        <v>2.54</v>
      </c>
      <c r="K272">
        <v>12</v>
      </c>
      <c r="L272">
        <v>43.47</v>
      </c>
      <c r="M272" t="s">
        <v>44</v>
      </c>
      <c r="N272" t="s">
        <v>39</v>
      </c>
      <c r="O272">
        <v>22</v>
      </c>
      <c r="P272">
        <v>12</v>
      </c>
      <c r="Q272" t="s">
        <v>54</v>
      </c>
      <c r="R272" t="s">
        <v>26</v>
      </c>
      <c r="S272">
        <v>43.47</v>
      </c>
    </row>
    <row r="273" spans="1:19" x14ac:dyDescent="0.45">
      <c r="A273" t="s">
        <v>336</v>
      </c>
      <c r="B273" t="s">
        <v>28</v>
      </c>
      <c r="C273" t="s">
        <v>93</v>
      </c>
      <c r="D273" t="s">
        <v>43</v>
      </c>
      <c r="E273" s="1">
        <v>45322</v>
      </c>
      <c r="F273" s="1">
        <v>45325</v>
      </c>
      <c r="G273">
        <v>56</v>
      </c>
      <c r="H273">
        <v>5.08</v>
      </c>
      <c r="I273">
        <v>8.33</v>
      </c>
      <c r="J273">
        <v>2.69</v>
      </c>
      <c r="K273">
        <v>3</v>
      </c>
      <c r="L273">
        <v>6.07</v>
      </c>
      <c r="M273" t="s">
        <v>30</v>
      </c>
      <c r="N273" t="s">
        <v>109</v>
      </c>
      <c r="O273">
        <v>56</v>
      </c>
      <c r="P273">
        <v>1</v>
      </c>
      <c r="Q273" t="s">
        <v>25</v>
      </c>
      <c r="R273" t="s">
        <v>26</v>
      </c>
      <c r="S273">
        <v>0</v>
      </c>
    </row>
    <row r="274" spans="1:19" x14ac:dyDescent="0.45">
      <c r="A274" t="s">
        <v>337</v>
      </c>
      <c r="B274" t="s">
        <v>37</v>
      </c>
      <c r="C274" t="s">
        <v>73</v>
      </c>
      <c r="D274" t="s">
        <v>22</v>
      </c>
      <c r="E274" s="1">
        <v>45327</v>
      </c>
      <c r="F274" s="1">
        <v>45331</v>
      </c>
      <c r="G274">
        <v>94</v>
      </c>
      <c r="H274">
        <v>5.19</v>
      </c>
      <c r="I274">
        <v>7.75</v>
      </c>
      <c r="J274">
        <v>2.5</v>
      </c>
      <c r="K274">
        <v>0</v>
      </c>
      <c r="L274">
        <v>12.74</v>
      </c>
      <c r="M274" t="s">
        <v>106</v>
      </c>
      <c r="N274" t="s">
        <v>24</v>
      </c>
      <c r="O274">
        <v>94</v>
      </c>
      <c r="P274">
        <v>2</v>
      </c>
      <c r="Q274" t="s">
        <v>65</v>
      </c>
      <c r="R274" t="s">
        <v>26</v>
      </c>
      <c r="S274">
        <v>0</v>
      </c>
    </row>
    <row r="275" spans="1:19" x14ac:dyDescent="0.45">
      <c r="A275" t="s">
        <v>338</v>
      </c>
      <c r="B275" t="s">
        <v>48</v>
      </c>
      <c r="C275" t="s">
        <v>42</v>
      </c>
      <c r="D275" t="s">
        <v>43</v>
      </c>
      <c r="E275" s="1">
        <v>45584</v>
      </c>
      <c r="F275" s="1">
        <v>45585</v>
      </c>
      <c r="G275">
        <v>43</v>
      </c>
      <c r="H275">
        <v>5.43</v>
      </c>
      <c r="I275">
        <v>7.7</v>
      </c>
      <c r="J275">
        <v>3.01</v>
      </c>
      <c r="K275">
        <v>0</v>
      </c>
      <c r="L275">
        <v>30.6</v>
      </c>
      <c r="M275" t="s">
        <v>30</v>
      </c>
      <c r="N275" t="s">
        <v>24</v>
      </c>
      <c r="O275">
        <v>43</v>
      </c>
      <c r="P275">
        <v>10</v>
      </c>
      <c r="Q275" t="s">
        <v>61</v>
      </c>
      <c r="R275" t="s">
        <v>62</v>
      </c>
      <c r="S275">
        <v>0</v>
      </c>
    </row>
    <row r="276" spans="1:19" x14ac:dyDescent="0.45">
      <c r="A276" t="s">
        <v>339</v>
      </c>
      <c r="B276" t="s">
        <v>37</v>
      </c>
      <c r="C276" t="s">
        <v>73</v>
      </c>
      <c r="D276" t="s">
        <v>29</v>
      </c>
      <c r="E276" s="1">
        <v>45450.833333333336</v>
      </c>
      <c r="F276" s="1">
        <v>45452.583333333336</v>
      </c>
      <c r="G276">
        <v>42</v>
      </c>
      <c r="H276">
        <v>5.64</v>
      </c>
      <c r="I276">
        <v>7.72</v>
      </c>
      <c r="J276">
        <v>2.72</v>
      </c>
      <c r="K276">
        <v>0</v>
      </c>
      <c r="L276">
        <v>26.73</v>
      </c>
      <c r="M276" t="s">
        <v>23</v>
      </c>
      <c r="N276" t="s">
        <v>24</v>
      </c>
      <c r="O276">
        <v>42</v>
      </c>
      <c r="P276">
        <v>6</v>
      </c>
      <c r="Q276" t="s">
        <v>40</v>
      </c>
      <c r="R276" t="s">
        <v>32</v>
      </c>
      <c r="S276">
        <v>0</v>
      </c>
    </row>
    <row r="277" spans="1:19" x14ac:dyDescent="0.45">
      <c r="A277" t="s">
        <v>340</v>
      </c>
      <c r="B277" t="s">
        <v>20</v>
      </c>
      <c r="C277" t="s">
        <v>21</v>
      </c>
      <c r="D277" t="s">
        <v>56</v>
      </c>
      <c r="E277" s="1">
        <v>45383</v>
      </c>
      <c r="F277" s="1">
        <v>45384</v>
      </c>
      <c r="G277">
        <v>26</v>
      </c>
      <c r="H277">
        <v>5.44</v>
      </c>
      <c r="I277">
        <v>7.73</v>
      </c>
      <c r="J277">
        <v>3.06</v>
      </c>
      <c r="K277">
        <v>0</v>
      </c>
      <c r="L277">
        <v>54.46</v>
      </c>
      <c r="M277" t="s">
        <v>44</v>
      </c>
      <c r="N277" t="s">
        <v>24</v>
      </c>
      <c r="O277">
        <v>26</v>
      </c>
      <c r="P277">
        <v>4</v>
      </c>
      <c r="Q277" t="s">
        <v>69</v>
      </c>
      <c r="R277" t="s">
        <v>46</v>
      </c>
      <c r="S277">
        <v>0</v>
      </c>
    </row>
    <row r="278" spans="1:19" x14ac:dyDescent="0.45">
      <c r="A278" t="s">
        <v>341</v>
      </c>
      <c r="B278" t="s">
        <v>28</v>
      </c>
      <c r="C278" t="s">
        <v>93</v>
      </c>
      <c r="D278" t="s">
        <v>22</v>
      </c>
      <c r="E278" s="1">
        <v>45536</v>
      </c>
      <c r="F278" s="1">
        <v>45539</v>
      </c>
      <c r="G278">
        <v>55</v>
      </c>
      <c r="H278">
        <v>4.92</v>
      </c>
      <c r="I278">
        <v>7.66</v>
      </c>
      <c r="J278">
        <v>2.58</v>
      </c>
      <c r="K278">
        <v>0</v>
      </c>
      <c r="L278">
        <v>42.91</v>
      </c>
      <c r="M278" t="s">
        <v>75</v>
      </c>
      <c r="N278" t="s">
        <v>24</v>
      </c>
      <c r="O278">
        <v>55</v>
      </c>
      <c r="P278">
        <v>9</v>
      </c>
      <c r="Q278" t="s">
        <v>76</v>
      </c>
      <c r="R278" t="s">
        <v>32</v>
      </c>
      <c r="S278">
        <v>0</v>
      </c>
    </row>
    <row r="279" spans="1:19" x14ac:dyDescent="0.45">
      <c r="A279" t="s">
        <v>342</v>
      </c>
      <c r="B279" t="s">
        <v>52</v>
      </c>
      <c r="C279" t="s">
        <v>82</v>
      </c>
      <c r="D279" t="s">
        <v>56</v>
      </c>
      <c r="E279" s="1">
        <v>45322.458333333336</v>
      </c>
      <c r="F279" s="1">
        <v>45324.875</v>
      </c>
      <c r="G279">
        <v>58</v>
      </c>
      <c r="H279">
        <v>4.97</v>
      </c>
      <c r="I279">
        <v>7.66</v>
      </c>
      <c r="J279">
        <v>2.54</v>
      </c>
      <c r="K279">
        <v>0</v>
      </c>
      <c r="L279">
        <v>68.66</v>
      </c>
      <c r="M279" t="s">
        <v>35</v>
      </c>
      <c r="N279" t="s">
        <v>24</v>
      </c>
      <c r="O279">
        <v>58</v>
      </c>
      <c r="P279">
        <v>1</v>
      </c>
      <c r="Q279" t="s">
        <v>25</v>
      </c>
      <c r="R279" t="s">
        <v>26</v>
      </c>
      <c r="S279">
        <v>0</v>
      </c>
    </row>
    <row r="280" spans="1:19" x14ac:dyDescent="0.45">
      <c r="A280" t="s">
        <v>343</v>
      </c>
      <c r="B280" t="s">
        <v>52</v>
      </c>
      <c r="C280" t="s">
        <v>53</v>
      </c>
      <c r="D280" t="s">
        <v>78</v>
      </c>
      <c r="E280" s="1">
        <v>45583</v>
      </c>
      <c r="F280" s="1">
        <v>45586</v>
      </c>
      <c r="G280">
        <v>73</v>
      </c>
      <c r="H280">
        <v>5.32</v>
      </c>
      <c r="I280">
        <v>7.79</v>
      </c>
      <c r="J280">
        <v>2.57</v>
      </c>
      <c r="K280">
        <v>0</v>
      </c>
      <c r="L280">
        <v>64.37</v>
      </c>
      <c r="M280" t="s">
        <v>30</v>
      </c>
      <c r="N280" t="s">
        <v>24</v>
      </c>
      <c r="O280">
        <v>73</v>
      </c>
      <c r="P280">
        <v>10</v>
      </c>
      <c r="Q280" t="s">
        <v>61</v>
      </c>
      <c r="R280" t="s">
        <v>62</v>
      </c>
      <c r="S280">
        <v>0</v>
      </c>
    </row>
    <row r="281" spans="1:19" x14ac:dyDescent="0.45">
      <c r="A281" t="s">
        <v>344</v>
      </c>
      <c r="B281" t="s">
        <v>28</v>
      </c>
      <c r="C281" t="s">
        <v>42</v>
      </c>
      <c r="D281" t="s">
        <v>22</v>
      </c>
      <c r="E281" s="1">
        <v>45599</v>
      </c>
      <c r="F281" s="1">
        <v>45601</v>
      </c>
      <c r="G281">
        <v>58</v>
      </c>
      <c r="H281">
        <v>5.54</v>
      </c>
      <c r="I281">
        <v>7.8</v>
      </c>
      <c r="J281">
        <v>2.52</v>
      </c>
      <c r="K281">
        <v>0</v>
      </c>
      <c r="L281">
        <v>17.28</v>
      </c>
      <c r="M281" t="s">
        <v>106</v>
      </c>
      <c r="N281" t="s">
        <v>24</v>
      </c>
      <c r="O281">
        <v>58</v>
      </c>
      <c r="P281">
        <v>11</v>
      </c>
      <c r="Q281" t="s">
        <v>89</v>
      </c>
      <c r="R281" t="s">
        <v>62</v>
      </c>
      <c r="S281">
        <v>0</v>
      </c>
    </row>
    <row r="282" spans="1:19" x14ac:dyDescent="0.45">
      <c r="A282" t="s">
        <v>345</v>
      </c>
      <c r="B282" t="s">
        <v>48</v>
      </c>
      <c r="C282" t="s">
        <v>34</v>
      </c>
      <c r="D282" t="s">
        <v>78</v>
      </c>
      <c r="E282" s="1">
        <v>45597.75</v>
      </c>
      <c r="F282" s="1">
        <v>45600.958333333336</v>
      </c>
      <c r="G282">
        <v>77</v>
      </c>
      <c r="H282">
        <v>5.45</v>
      </c>
      <c r="I282">
        <v>11.76</v>
      </c>
      <c r="J282">
        <v>2.6</v>
      </c>
      <c r="K282">
        <v>6</v>
      </c>
      <c r="L282">
        <v>25.8</v>
      </c>
      <c r="M282" t="s">
        <v>30</v>
      </c>
      <c r="N282" t="s">
        <v>39</v>
      </c>
      <c r="O282">
        <v>77</v>
      </c>
      <c r="P282">
        <v>11</v>
      </c>
      <c r="Q282" t="s">
        <v>89</v>
      </c>
      <c r="R282" t="s">
        <v>62</v>
      </c>
      <c r="S282">
        <v>25.8</v>
      </c>
    </row>
    <row r="283" spans="1:19" x14ac:dyDescent="0.45">
      <c r="A283" t="s">
        <v>346</v>
      </c>
      <c r="B283" t="s">
        <v>28</v>
      </c>
      <c r="C283" t="s">
        <v>93</v>
      </c>
      <c r="D283" t="s">
        <v>56</v>
      </c>
      <c r="E283" s="1">
        <v>45453</v>
      </c>
      <c r="F283" s="1">
        <v>45454</v>
      </c>
      <c r="G283">
        <v>47</v>
      </c>
      <c r="H283">
        <v>5.3</v>
      </c>
      <c r="I283">
        <v>7.76</v>
      </c>
      <c r="J283">
        <v>2.95</v>
      </c>
      <c r="K283">
        <v>0</v>
      </c>
      <c r="L283">
        <v>73.930000000000007</v>
      </c>
      <c r="M283" t="s">
        <v>75</v>
      </c>
      <c r="N283" t="s">
        <v>24</v>
      </c>
      <c r="O283">
        <v>47</v>
      </c>
      <c r="P283">
        <v>6</v>
      </c>
      <c r="Q283" t="s">
        <v>40</v>
      </c>
      <c r="R283" t="s">
        <v>32</v>
      </c>
      <c r="S283">
        <v>0</v>
      </c>
    </row>
    <row r="284" spans="1:19" x14ac:dyDescent="0.45">
      <c r="A284" t="s">
        <v>347</v>
      </c>
      <c r="B284" t="s">
        <v>52</v>
      </c>
      <c r="C284" t="s">
        <v>53</v>
      </c>
      <c r="D284" t="s">
        <v>78</v>
      </c>
      <c r="E284" s="1">
        <v>45511.416666666664</v>
      </c>
      <c r="F284" s="1">
        <v>45513.5</v>
      </c>
      <c r="G284">
        <v>50</v>
      </c>
      <c r="H284">
        <v>4.88</v>
      </c>
      <c r="I284">
        <v>7.73</v>
      </c>
      <c r="J284">
        <v>2.64</v>
      </c>
      <c r="K284">
        <v>0</v>
      </c>
      <c r="L284">
        <v>17.34</v>
      </c>
      <c r="M284" t="s">
        <v>75</v>
      </c>
      <c r="N284" t="s">
        <v>24</v>
      </c>
      <c r="O284">
        <v>50</v>
      </c>
      <c r="P284">
        <v>8</v>
      </c>
      <c r="Q284" t="s">
        <v>58</v>
      </c>
      <c r="R284" t="s">
        <v>32</v>
      </c>
      <c r="S284">
        <v>0</v>
      </c>
    </row>
    <row r="285" spans="1:19" x14ac:dyDescent="0.45">
      <c r="A285" t="s">
        <v>348</v>
      </c>
      <c r="B285" t="s">
        <v>48</v>
      </c>
      <c r="C285" t="s">
        <v>73</v>
      </c>
      <c r="D285" t="s">
        <v>78</v>
      </c>
      <c r="E285" s="1">
        <v>45537</v>
      </c>
      <c r="F285" s="1">
        <v>45538.625</v>
      </c>
      <c r="G285">
        <v>39</v>
      </c>
      <c r="H285">
        <v>6.79</v>
      </c>
      <c r="I285">
        <v>11.88</v>
      </c>
      <c r="J285">
        <v>2.75</v>
      </c>
      <c r="K285">
        <v>15</v>
      </c>
      <c r="L285">
        <v>19.82</v>
      </c>
      <c r="M285" t="s">
        <v>23</v>
      </c>
      <c r="N285" t="s">
        <v>39</v>
      </c>
      <c r="O285">
        <v>39</v>
      </c>
      <c r="P285">
        <v>9</v>
      </c>
      <c r="Q285" t="s">
        <v>76</v>
      </c>
      <c r="R285" t="s">
        <v>32</v>
      </c>
      <c r="S285">
        <v>19.82</v>
      </c>
    </row>
    <row r="286" spans="1:19" x14ac:dyDescent="0.45">
      <c r="A286" t="s">
        <v>349</v>
      </c>
      <c r="B286" t="s">
        <v>28</v>
      </c>
      <c r="C286" t="s">
        <v>21</v>
      </c>
      <c r="D286" t="s">
        <v>29</v>
      </c>
      <c r="E286" s="1">
        <v>45469.833333333336</v>
      </c>
      <c r="F286" s="1">
        <v>45472.958333333336</v>
      </c>
      <c r="G286">
        <v>75</v>
      </c>
      <c r="H286">
        <v>4.93</v>
      </c>
      <c r="I286">
        <v>7.74</v>
      </c>
      <c r="J286">
        <v>2.52</v>
      </c>
      <c r="K286">
        <v>0</v>
      </c>
      <c r="L286">
        <v>16.77</v>
      </c>
      <c r="M286" t="s">
        <v>106</v>
      </c>
      <c r="N286" t="s">
        <v>24</v>
      </c>
      <c r="O286">
        <v>75</v>
      </c>
      <c r="P286">
        <v>6</v>
      </c>
      <c r="Q286" t="s">
        <v>40</v>
      </c>
      <c r="R286" t="s">
        <v>32</v>
      </c>
      <c r="S286">
        <v>0</v>
      </c>
    </row>
    <row r="287" spans="1:19" x14ac:dyDescent="0.45">
      <c r="A287" t="s">
        <v>350</v>
      </c>
      <c r="B287" t="s">
        <v>52</v>
      </c>
      <c r="C287" t="s">
        <v>34</v>
      </c>
      <c r="D287" t="s">
        <v>22</v>
      </c>
      <c r="E287" s="1">
        <v>45322</v>
      </c>
      <c r="F287" s="1">
        <v>45325</v>
      </c>
      <c r="G287">
        <v>69</v>
      </c>
      <c r="H287">
        <v>5.26</v>
      </c>
      <c r="I287">
        <v>7.79</v>
      </c>
      <c r="J287">
        <v>2.59</v>
      </c>
      <c r="K287">
        <v>0</v>
      </c>
      <c r="L287">
        <v>13.27</v>
      </c>
      <c r="M287" t="s">
        <v>57</v>
      </c>
      <c r="N287" t="s">
        <v>24</v>
      </c>
      <c r="O287">
        <v>69</v>
      </c>
      <c r="P287">
        <v>1</v>
      </c>
      <c r="Q287" t="s">
        <v>25</v>
      </c>
      <c r="R287" t="s">
        <v>26</v>
      </c>
      <c r="S287">
        <v>0</v>
      </c>
    </row>
    <row r="288" spans="1:19" x14ac:dyDescent="0.45">
      <c r="A288" t="s">
        <v>351</v>
      </c>
      <c r="B288" t="s">
        <v>28</v>
      </c>
      <c r="C288" t="s">
        <v>53</v>
      </c>
      <c r="D288" t="s">
        <v>78</v>
      </c>
      <c r="E288" s="1">
        <v>45576</v>
      </c>
      <c r="F288" s="1">
        <v>45579</v>
      </c>
      <c r="G288">
        <v>66</v>
      </c>
      <c r="H288">
        <v>5.22</v>
      </c>
      <c r="I288">
        <v>7.8</v>
      </c>
      <c r="J288">
        <v>2.58</v>
      </c>
      <c r="K288">
        <v>0</v>
      </c>
      <c r="L288">
        <v>77.209999999999994</v>
      </c>
      <c r="M288" t="s">
        <v>106</v>
      </c>
      <c r="N288" t="s">
        <v>24</v>
      </c>
      <c r="O288">
        <v>66</v>
      </c>
      <c r="P288">
        <v>10</v>
      </c>
      <c r="Q288" t="s">
        <v>61</v>
      </c>
      <c r="R288" t="s">
        <v>62</v>
      </c>
      <c r="S288">
        <v>0</v>
      </c>
    </row>
    <row r="289" spans="1:19" x14ac:dyDescent="0.45">
      <c r="A289" t="s">
        <v>352</v>
      </c>
      <c r="B289" t="s">
        <v>37</v>
      </c>
      <c r="C289" t="s">
        <v>38</v>
      </c>
      <c r="D289" t="s">
        <v>78</v>
      </c>
      <c r="E289" s="1">
        <v>45470.041666666664</v>
      </c>
      <c r="F289" s="1">
        <v>45473.458333333336</v>
      </c>
      <c r="G289">
        <v>82</v>
      </c>
      <c r="H289">
        <v>5.22</v>
      </c>
      <c r="I289">
        <v>7.79</v>
      </c>
      <c r="J289">
        <v>2.5499999999999998</v>
      </c>
      <c r="K289">
        <v>0</v>
      </c>
      <c r="L289">
        <v>31.8</v>
      </c>
      <c r="M289" t="s">
        <v>43</v>
      </c>
      <c r="N289" t="s">
        <v>24</v>
      </c>
      <c r="O289">
        <v>82</v>
      </c>
      <c r="P289">
        <v>6</v>
      </c>
      <c r="Q289" t="s">
        <v>40</v>
      </c>
      <c r="R289" t="s">
        <v>32</v>
      </c>
      <c r="S289">
        <v>0</v>
      </c>
    </row>
    <row r="290" spans="1:19" x14ac:dyDescent="0.45">
      <c r="A290" t="s">
        <v>353</v>
      </c>
      <c r="B290" t="s">
        <v>20</v>
      </c>
      <c r="C290" t="s">
        <v>93</v>
      </c>
      <c r="D290" t="s">
        <v>22</v>
      </c>
      <c r="E290" s="1">
        <v>45426</v>
      </c>
      <c r="F290" s="1">
        <v>45429</v>
      </c>
      <c r="G290">
        <v>69</v>
      </c>
      <c r="H290">
        <v>4.84</v>
      </c>
      <c r="I290">
        <v>7.67</v>
      </c>
      <c r="J290">
        <v>2.5499999999999998</v>
      </c>
      <c r="K290">
        <v>0</v>
      </c>
      <c r="L290">
        <v>36.090000000000003</v>
      </c>
      <c r="M290" t="s">
        <v>79</v>
      </c>
      <c r="N290" t="s">
        <v>24</v>
      </c>
      <c r="O290">
        <v>69</v>
      </c>
      <c r="P290">
        <v>5</v>
      </c>
      <c r="Q290" t="s">
        <v>67</v>
      </c>
      <c r="R290" t="s">
        <v>46</v>
      </c>
      <c r="S290">
        <v>0</v>
      </c>
    </row>
    <row r="291" spans="1:19" x14ac:dyDescent="0.45">
      <c r="A291" t="s">
        <v>354</v>
      </c>
      <c r="B291" t="s">
        <v>48</v>
      </c>
      <c r="C291" t="s">
        <v>53</v>
      </c>
      <c r="D291" t="s">
        <v>43</v>
      </c>
      <c r="E291" s="1">
        <v>45565</v>
      </c>
      <c r="F291" s="1">
        <v>45567</v>
      </c>
      <c r="G291">
        <v>53</v>
      </c>
      <c r="H291">
        <v>5.22</v>
      </c>
      <c r="I291">
        <v>7.68</v>
      </c>
      <c r="J291">
        <v>2.5499999999999998</v>
      </c>
      <c r="K291">
        <v>0</v>
      </c>
      <c r="L291">
        <v>48.36</v>
      </c>
      <c r="M291" t="s">
        <v>23</v>
      </c>
      <c r="N291" t="s">
        <v>24</v>
      </c>
      <c r="O291">
        <v>53</v>
      </c>
      <c r="P291">
        <v>9</v>
      </c>
      <c r="Q291" t="s">
        <v>76</v>
      </c>
      <c r="R291" t="s">
        <v>32</v>
      </c>
      <c r="S291">
        <v>0</v>
      </c>
    </row>
    <row r="292" spans="1:19" x14ac:dyDescent="0.45">
      <c r="A292" t="s">
        <v>355</v>
      </c>
      <c r="B292" t="s">
        <v>28</v>
      </c>
      <c r="C292" t="s">
        <v>21</v>
      </c>
      <c r="D292" t="s">
        <v>78</v>
      </c>
      <c r="E292" s="1">
        <v>45613</v>
      </c>
      <c r="F292" s="1">
        <v>45614</v>
      </c>
      <c r="G292">
        <v>32</v>
      </c>
      <c r="H292">
        <v>5.25</v>
      </c>
      <c r="I292">
        <v>7.55</v>
      </c>
      <c r="J292">
        <v>3.12</v>
      </c>
      <c r="K292">
        <v>0</v>
      </c>
      <c r="L292">
        <v>63.74</v>
      </c>
      <c r="M292" t="s">
        <v>30</v>
      </c>
      <c r="N292" t="s">
        <v>24</v>
      </c>
      <c r="O292">
        <v>32</v>
      </c>
      <c r="P292">
        <v>11</v>
      </c>
      <c r="Q292" t="s">
        <v>89</v>
      </c>
      <c r="R292" t="s">
        <v>62</v>
      </c>
      <c r="S292">
        <v>0</v>
      </c>
    </row>
    <row r="293" spans="1:19" x14ac:dyDescent="0.45">
      <c r="A293" t="s">
        <v>356</v>
      </c>
      <c r="B293" t="s">
        <v>28</v>
      </c>
      <c r="C293" t="s">
        <v>34</v>
      </c>
      <c r="D293" t="s">
        <v>22</v>
      </c>
      <c r="E293" s="1">
        <v>45426.333333333336</v>
      </c>
      <c r="F293" s="1">
        <v>45430</v>
      </c>
      <c r="G293">
        <v>88</v>
      </c>
      <c r="H293">
        <v>4.96</v>
      </c>
      <c r="I293">
        <v>7.78</v>
      </c>
      <c r="J293">
        <v>2.5</v>
      </c>
      <c r="K293">
        <v>0</v>
      </c>
      <c r="L293">
        <v>57.8</v>
      </c>
      <c r="M293" t="s">
        <v>30</v>
      </c>
      <c r="N293" t="s">
        <v>24</v>
      </c>
      <c r="O293">
        <v>88</v>
      </c>
      <c r="P293">
        <v>5</v>
      </c>
      <c r="Q293" t="s">
        <v>67</v>
      </c>
      <c r="R293" t="s">
        <v>46</v>
      </c>
      <c r="S293">
        <v>0</v>
      </c>
    </row>
    <row r="294" spans="1:19" x14ac:dyDescent="0.45">
      <c r="A294" t="s">
        <v>357</v>
      </c>
      <c r="B294" t="s">
        <v>28</v>
      </c>
      <c r="C294" t="s">
        <v>42</v>
      </c>
      <c r="D294" t="s">
        <v>29</v>
      </c>
      <c r="E294" s="1">
        <v>45340</v>
      </c>
      <c r="F294" s="1">
        <v>45341</v>
      </c>
      <c r="G294">
        <v>28</v>
      </c>
      <c r="H294">
        <v>5.47</v>
      </c>
      <c r="I294">
        <v>7.74</v>
      </c>
      <c r="J294">
        <v>3.05</v>
      </c>
      <c r="K294">
        <v>0</v>
      </c>
      <c r="L294">
        <v>17.739999999999998</v>
      </c>
      <c r="M294" t="s">
        <v>75</v>
      </c>
      <c r="N294" t="s">
        <v>24</v>
      </c>
      <c r="O294">
        <v>28</v>
      </c>
      <c r="P294">
        <v>2</v>
      </c>
      <c r="Q294" t="s">
        <v>65</v>
      </c>
      <c r="R294" t="s">
        <v>26</v>
      </c>
      <c r="S294">
        <v>0</v>
      </c>
    </row>
    <row r="295" spans="1:19" x14ac:dyDescent="0.45">
      <c r="A295" t="s">
        <v>358</v>
      </c>
      <c r="B295" t="s">
        <v>20</v>
      </c>
      <c r="C295" t="s">
        <v>82</v>
      </c>
      <c r="D295" t="s">
        <v>29</v>
      </c>
      <c r="E295" s="1">
        <v>45534.958333333336</v>
      </c>
      <c r="F295" s="1">
        <v>45538.875</v>
      </c>
      <c r="G295">
        <v>94</v>
      </c>
      <c r="H295">
        <v>4.99</v>
      </c>
      <c r="I295">
        <v>7.65</v>
      </c>
      <c r="J295">
        <v>2.52</v>
      </c>
      <c r="K295">
        <v>0</v>
      </c>
      <c r="L295">
        <v>61.29</v>
      </c>
      <c r="M295" t="s">
        <v>106</v>
      </c>
      <c r="N295" t="s">
        <v>24</v>
      </c>
      <c r="O295">
        <v>94</v>
      </c>
      <c r="P295">
        <v>8</v>
      </c>
      <c r="Q295" t="s">
        <v>58</v>
      </c>
      <c r="R295" t="s">
        <v>32</v>
      </c>
      <c r="S295">
        <v>0</v>
      </c>
    </row>
    <row r="296" spans="1:19" x14ac:dyDescent="0.45">
      <c r="A296" t="s">
        <v>359</v>
      </c>
      <c r="B296" t="s">
        <v>37</v>
      </c>
      <c r="C296" t="s">
        <v>38</v>
      </c>
      <c r="D296" t="s">
        <v>22</v>
      </c>
      <c r="E296" s="1">
        <v>45517.708333333336</v>
      </c>
      <c r="F296" s="1">
        <v>45519.333333333336</v>
      </c>
      <c r="G296">
        <v>39</v>
      </c>
      <c r="H296">
        <v>5.46</v>
      </c>
      <c r="I296">
        <v>7.8</v>
      </c>
      <c r="J296">
        <v>2.54</v>
      </c>
      <c r="K296">
        <v>0</v>
      </c>
      <c r="L296">
        <v>79.23</v>
      </c>
      <c r="M296" t="s">
        <v>106</v>
      </c>
      <c r="N296" t="s">
        <v>24</v>
      </c>
      <c r="O296">
        <v>39</v>
      </c>
      <c r="P296">
        <v>8</v>
      </c>
      <c r="Q296" t="s">
        <v>58</v>
      </c>
      <c r="R296" t="s">
        <v>32</v>
      </c>
      <c r="S296">
        <v>0</v>
      </c>
    </row>
    <row r="297" spans="1:19" x14ac:dyDescent="0.45">
      <c r="A297" t="s">
        <v>360</v>
      </c>
      <c r="B297" t="s">
        <v>37</v>
      </c>
      <c r="C297" t="s">
        <v>53</v>
      </c>
      <c r="D297" t="s">
        <v>29</v>
      </c>
      <c r="E297" s="1">
        <v>45629</v>
      </c>
      <c r="F297" s="1">
        <v>45631</v>
      </c>
      <c r="G297">
        <v>53</v>
      </c>
      <c r="H297">
        <v>5.1100000000000003</v>
      </c>
      <c r="I297">
        <v>7.79</v>
      </c>
      <c r="J297">
        <v>2.56</v>
      </c>
      <c r="K297">
        <v>0</v>
      </c>
      <c r="L297">
        <v>35</v>
      </c>
      <c r="M297" t="s">
        <v>44</v>
      </c>
      <c r="N297" t="s">
        <v>24</v>
      </c>
      <c r="O297">
        <v>53</v>
      </c>
      <c r="P297">
        <v>12</v>
      </c>
      <c r="Q297" t="s">
        <v>54</v>
      </c>
      <c r="R297" t="s">
        <v>26</v>
      </c>
      <c r="S297">
        <v>0</v>
      </c>
    </row>
    <row r="298" spans="1:19" x14ac:dyDescent="0.45">
      <c r="A298" t="s">
        <v>361</v>
      </c>
      <c r="B298" t="s">
        <v>28</v>
      </c>
      <c r="C298" t="s">
        <v>53</v>
      </c>
      <c r="D298" t="s">
        <v>50</v>
      </c>
      <c r="E298" s="1">
        <v>45343.041666666664</v>
      </c>
      <c r="F298" s="1">
        <v>45346.625</v>
      </c>
      <c r="G298">
        <v>86</v>
      </c>
      <c r="H298">
        <v>5.37</v>
      </c>
      <c r="I298">
        <v>7.75</v>
      </c>
      <c r="J298">
        <v>2.52</v>
      </c>
      <c r="K298">
        <v>2</v>
      </c>
      <c r="L298">
        <v>11.18</v>
      </c>
      <c r="M298" t="s">
        <v>79</v>
      </c>
      <c r="N298" t="s">
        <v>109</v>
      </c>
      <c r="O298">
        <v>86</v>
      </c>
      <c r="P298">
        <v>2</v>
      </c>
      <c r="Q298" t="s">
        <v>65</v>
      </c>
      <c r="R298" t="s">
        <v>26</v>
      </c>
      <c r="S298">
        <v>0</v>
      </c>
    </row>
    <row r="299" spans="1:19" x14ac:dyDescent="0.45">
      <c r="A299" t="s">
        <v>362</v>
      </c>
      <c r="B299" t="s">
        <v>37</v>
      </c>
      <c r="C299" t="s">
        <v>73</v>
      </c>
      <c r="D299" t="s">
        <v>29</v>
      </c>
      <c r="E299" s="1">
        <v>45347</v>
      </c>
      <c r="F299" s="1">
        <v>45350</v>
      </c>
      <c r="G299">
        <v>61</v>
      </c>
      <c r="H299">
        <v>5.17</v>
      </c>
      <c r="I299">
        <v>7.79</v>
      </c>
      <c r="J299">
        <v>2.59</v>
      </c>
      <c r="K299">
        <v>0</v>
      </c>
      <c r="L299">
        <v>76.44</v>
      </c>
      <c r="M299" t="s">
        <v>57</v>
      </c>
      <c r="N299" t="s">
        <v>24</v>
      </c>
      <c r="O299">
        <v>61</v>
      </c>
      <c r="P299">
        <v>2</v>
      </c>
      <c r="Q299" t="s">
        <v>65</v>
      </c>
      <c r="R299" t="s">
        <v>26</v>
      </c>
      <c r="S299">
        <v>0</v>
      </c>
    </row>
    <row r="300" spans="1:19" x14ac:dyDescent="0.45">
      <c r="A300" t="s">
        <v>363</v>
      </c>
      <c r="B300" t="s">
        <v>20</v>
      </c>
      <c r="C300" t="s">
        <v>42</v>
      </c>
      <c r="D300" t="s">
        <v>56</v>
      </c>
      <c r="E300" s="1">
        <v>45622.666666666664</v>
      </c>
      <c r="F300" s="1">
        <v>45625.125</v>
      </c>
      <c r="G300">
        <v>59</v>
      </c>
      <c r="H300">
        <v>5.32</v>
      </c>
      <c r="I300">
        <v>7.79</v>
      </c>
      <c r="J300">
        <v>2.62</v>
      </c>
      <c r="K300">
        <v>0</v>
      </c>
      <c r="L300">
        <v>42.39</v>
      </c>
      <c r="M300" t="s">
        <v>44</v>
      </c>
      <c r="N300" t="s">
        <v>24</v>
      </c>
      <c r="O300">
        <v>59</v>
      </c>
      <c r="P300">
        <v>11</v>
      </c>
      <c r="Q300" t="s">
        <v>89</v>
      </c>
      <c r="R300" t="s">
        <v>62</v>
      </c>
      <c r="S300">
        <v>0</v>
      </c>
    </row>
    <row r="301" spans="1:19" x14ac:dyDescent="0.45">
      <c r="A301" t="s">
        <v>364</v>
      </c>
      <c r="B301" t="s">
        <v>37</v>
      </c>
      <c r="C301" t="s">
        <v>73</v>
      </c>
      <c r="D301" t="s">
        <v>78</v>
      </c>
      <c r="E301" s="1">
        <v>45613.041666666664</v>
      </c>
      <c r="F301" s="1">
        <v>45614.5</v>
      </c>
      <c r="G301">
        <v>35</v>
      </c>
      <c r="H301">
        <v>4.93</v>
      </c>
      <c r="I301">
        <v>7.74</v>
      </c>
      <c r="J301">
        <v>2.5</v>
      </c>
      <c r="K301">
        <v>0</v>
      </c>
      <c r="L301">
        <v>75.52</v>
      </c>
      <c r="M301" t="s">
        <v>23</v>
      </c>
      <c r="N301" t="s">
        <v>24</v>
      </c>
      <c r="O301">
        <v>35</v>
      </c>
      <c r="P301">
        <v>11</v>
      </c>
      <c r="Q301" t="s">
        <v>89</v>
      </c>
      <c r="R301" t="s">
        <v>62</v>
      </c>
      <c r="S301">
        <v>0</v>
      </c>
    </row>
    <row r="302" spans="1:19" x14ac:dyDescent="0.45">
      <c r="A302" t="s">
        <v>365</v>
      </c>
      <c r="B302" t="s">
        <v>28</v>
      </c>
      <c r="C302" t="s">
        <v>53</v>
      </c>
      <c r="D302" t="s">
        <v>29</v>
      </c>
      <c r="E302" s="1">
        <v>45526</v>
      </c>
      <c r="F302" s="1">
        <v>45529</v>
      </c>
      <c r="G302">
        <v>88</v>
      </c>
      <c r="H302">
        <v>5.18</v>
      </c>
      <c r="I302">
        <v>7.73</v>
      </c>
      <c r="J302">
        <v>2.65</v>
      </c>
      <c r="K302">
        <v>0</v>
      </c>
      <c r="L302">
        <v>74.91</v>
      </c>
      <c r="M302" t="s">
        <v>57</v>
      </c>
      <c r="N302" t="s">
        <v>24</v>
      </c>
      <c r="O302">
        <v>88</v>
      </c>
      <c r="P302">
        <v>8</v>
      </c>
      <c r="Q302" t="s">
        <v>58</v>
      </c>
      <c r="R302" t="s">
        <v>32</v>
      </c>
      <c r="S302">
        <v>0</v>
      </c>
    </row>
    <row r="303" spans="1:19" x14ac:dyDescent="0.45">
      <c r="A303" t="s">
        <v>366</v>
      </c>
      <c r="B303" t="s">
        <v>20</v>
      </c>
      <c r="C303" t="s">
        <v>53</v>
      </c>
      <c r="D303" t="s">
        <v>56</v>
      </c>
      <c r="E303" s="1">
        <v>45598.541666666664</v>
      </c>
      <c r="F303" s="1">
        <v>45601.125</v>
      </c>
      <c r="G303">
        <v>62</v>
      </c>
      <c r="H303">
        <v>5.21</v>
      </c>
      <c r="I303">
        <v>7.79</v>
      </c>
      <c r="J303">
        <v>2.54</v>
      </c>
      <c r="K303">
        <v>0</v>
      </c>
      <c r="L303">
        <v>74.8</v>
      </c>
      <c r="M303" t="s">
        <v>23</v>
      </c>
      <c r="N303" t="s">
        <v>24</v>
      </c>
      <c r="O303">
        <v>62</v>
      </c>
      <c r="P303">
        <v>11</v>
      </c>
      <c r="Q303" t="s">
        <v>89</v>
      </c>
      <c r="R303" t="s">
        <v>62</v>
      </c>
      <c r="S303">
        <v>0</v>
      </c>
    </row>
    <row r="304" spans="1:19" x14ac:dyDescent="0.45">
      <c r="A304" t="s">
        <v>367</v>
      </c>
      <c r="B304" t="s">
        <v>20</v>
      </c>
      <c r="C304" t="s">
        <v>53</v>
      </c>
      <c r="D304" t="s">
        <v>56</v>
      </c>
      <c r="E304" s="1">
        <v>45478.666666666664</v>
      </c>
      <c r="F304" s="1">
        <v>45481.916666666664</v>
      </c>
      <c r="G304">
        <v>78</v>
      </c>
      <c r="H304">
        <v>5.1100000000000003</v>
      </c>
      <c r="I304">
        <v>7.78</v>
      </c>
      <c r="J304">
        <v>2.52</v>
      </c>
      <c r="K304">
        <v>0</v>
      </c>
      <c r="L304">
        <v>78.260000000000005</v>
      </c>
      <c r="M304" t="s">
        <v>44</v>
      </c>
      <c r="N304" t="s">
        <v>24</v>
      </c>
      <c r="O304">
        <v>78</v>
      </c>
      <c r="P304">
        <v>7</v>
      </c>
      <c r="Q304" t="s">
        <v>31</v>
      </c>
      <c r="R304" t="s">
        <v>32</v>
      </c>
      <c r="S304">
        <v>0</v>
      </c>
    </row>
    <row r="305" spans="1:19" x14ac:dyDescent="0.45">
      <c r="A305" t="s">
        <v>368</v>
      </c>
      <c r="B305" t="s">
        <v>48</v>
      </c>
      <c r="C305" t="s">
        <v>38</v>
      </c>
      <c r="D305" t="s">
        <v>78</v>
      </c>
      <c r="E305" s="1">
        <v>45656</v>
      </c>
      <c r="F305" s="1">
        <v>45660</v>
      </c>
      <c r="G305">
        <v>87</v>
      </c>
      <c r="H305">
        <v>5.42</v>
      </c>
      <c r="I305">
        <v>7.79</v>
      </c>
      <c r="J305">
        <v>2.5</v>
      </c>
      <c r="K305">
        <v>0</v>
      </c>
      <c r="L305">
        <v>13.98</v>
      </c>
      <c r="M305" t="s">
        <v>57</v>
      </c>
      <c r="N305" t="s">
        <v>24</v>
      </c>
      <c r="O305">
        <v>87</v>
      </c>
      <c r="P305">
        <v>12</v>
      </c>
      <c r="Q305" t="s">
        <v>54</v>
      </c>
      <c r="R305" t="s">
        <v>26</v>
      </c>
      <c r="S305">
        <v>0</v>
      </c>
    </row>
    <row r="306" spans="1:19" x14ac:dyDescent="0.45">
      <c r="A306" t="s">
        <v>369</v>
      </c>
      <c r="B306" t="s">
        <v>28</v>
      </c>
      <c r="C306" t="s">
        <v>73</v>
      </c>
      <c r="D306" t="s">
        <v>78</v>
      </c>
      <c r="E306" s="1">
        <v>45368.666666666664</v>
      </c>
      <c r="F306" s="1">
        <v>45372.416666666664</v>
      </c>
      <c r="G306">
        <v>90</v>
      </c>
      <c r="H306">
        <v>5.16</v>
      </c>
      <c r="I306">
        <v>7.6</v>
      </c>
      <c r="J306">
        <v>2.54</v>
      </c>
      <c r="K306">
        <v>0</v>
      </c>
      <c r="L306">
        <v>74.98</v>
      </c>
      <c r="M306" t="s">
        <v>106</v>
      </c>
      <c r="N306" t="s">
        <v>24</v>
      </c>
      <c r="O306">
        <v>90</v>
      </c>
      <c r="P306">
        <v>3</v>
      </c>
      <c r="Q306" t="s">
        <v>45</v>
      </c>
      <c r="R306" t="s">
        <v>46</v>
      </c>
      <c r="S306">
        <v>0</v>
      </c>
    </row>
    <row r="307" spans="1:19" x14ac:dyDescent="0.45">
      <c r="A307" t="s">
        <v>370</v>
      </c>
      <c r="B307" t="s">
        <v>48</v>
      </c>
      <c r="C307" t="s">
        <v>38</v>
      </c>
      <c r="D307" t="s">
        <v>56</v>
      </c>
      <c r="E307" s="1">
        <v>45392</v>
      </c>
      <c r="F307" s="1">
        <v>45393</v>
      </c>
      <c r="G307">
        <v>30</v>
      </c>
      <c r="H307">
        <v>5.19</v>
      </c>
      <c r="I307">
        <v>7.51</v>
      </c>
      <c r="J307">
        <v>2.54</v>
      </c>
      <c r="K307">
        <v>0</v>
      </c>
      <c r="L307">
        <v>7.59</v>
      </c>
      <c r="M307" t="s">
        <v>35</v>
      </c>
      <c r="N307" t="s">
        <v>24</v>
      </c>
      <c r="O307">
        <v>30</v>
      </c>
      <c r="P307">
        <v>4</v>
      </c>
      <c r="Q307" t="s">
        <v>69</v>
      </c>
      <c r="R307" t="s">
        <v>46</v>
      </c>
      <c r="S307">
        <v>0</v>
      </c>
    </row>
    <row r="308" spans="1:19" x14ac:dyDescent="0.45">
      <c r="A308" t="s">
        <v>371</v>
      </c>
      <c r="B308" t="s">
        <v>37</v>
      </c>
      <c r="C308" t="s">
        <v>42</v>
      </c>
      <c r="D308" t="s">
        <v>78</v>
      </c>
      <c r="E308" s="1">
        <v>45410.291666666664</v>
      </c>
      <c r="F308" s="1">
        <v>45413.291666666664</v>
      </c>
      <c r="G308">
        <v>72</v>
      </c>
      <c r="H308">
        <v>5.12</v>
      </c>
      <c r="I308">
        <v>7.79</v>
      </c>
      <c r="J308">
        <v>2.7</v>
      </c>
      <c r="K308">
        <v>0</v>
      </c>
      <c r="L308">
        <v>50.76</v>
      </c>
      <c r="M308" t="s">
        <v>75</v>
      </c>
      <c r="N308" t="s">
        <v>24</v>
      </c>
      <c r="O308">
        <v>72</v>
      </c>
      <c r="P308">
        <v>4</v>
      </c>
      <c r="Q308" t="s">
        <v>69</v>
      </c>
      <c r="R308" t="s">
        <v>46</v>
      </c>
      <c r="S308">
        <v>0</v>
      </c>
    </row>
    <row r="309" spans="1:19" x14ac:dyDescent="0.45">
      <c r="A309" t="s">
        <v>372</v>
      </c>
      <c r="B309" t="s">
        <v>20</v>
      </c>
      <c r="C309" t="s">
        <v>53</v>
      </c>
      <c r="D309" t="s">
        <v>22</v>
      </c>
      <c r="E309" s="1">
        <v>45361.958333333336</v>
      </c>
      <c r="F309" s="1">
        <v>45364.541666666664</v>
      </c>
      <c r="G309">
        <v>62</v>
      </c>
      <c r="H309">
        <v>5.44</v>
      </c>
      <c r="I309">
        <v>7.66</v>
      </c>
      <c r="J309">
        <v>2.69</v>
      </c>
      <c r="K309">
        <v>0</v>
      </c>
      <c r="L309">
        <v>64.760000000000005</v>
      </c>
      <c r="M309" t="s">
        <v>30</v>
      </c>
      <c r="N309" t="s">
        <v>24</v>
      </c>
      <c r="O309">
        <v>62</v>
      </c>
      <c r="P309">
        <v>3</v>
      </c>
      <c r="Q309" t="s">
        <v>45</v>
      </c>
      <c r="R309" t="s">
        <v>46</v>
      </c>
      <c r="S309">
        <v>0</v>
      </c>
    </row>
    <row r="310" spans="1:19" x14ac:dyDescent="0.45">
      <c r="A310" t="s">
        <v>373</v>
      </c>
      <c r="B310" t="s">
        <v>28</v>
      </c>
      <c r="C310" t="s">
        <v>34</v>
      </c>
      <c r="D310" t="s">
        <v>78</v>
      </c>
      <c r="E310" s="1">
        <v>45479.916666666664</v>
      </c>
      <c r="F310" s="1">
        <v>45483.833333333336</v>
      </c>
      <c r="G310">
        <v>94</v>
      </c>
      <c r="H310">
        <v>5.1100000000000003</v>
      </c>
      <c r="I310">
        <v>7.64</v>
      </c>
      <c r="J310">
        <v>2.59</v>
      </c>
      <c r="K310">
        <v>0</v>
      </c>
      <c r="L310">
        <v>47.65</v>
      </c>
      <c r="M310" t="s">
        <v>30</v>
      </c>
      <c r="N310" t="s">
        <v>24</v>
      </c>
      <c r="O310">
        <v>94</v>
      </c>
      <c r="P310">
        <v>7</v>
      </c>
      <c r="Q310" t="s">
        <v>31</v>
      </c>
      <c r="R310" t="s">
        <v>32</v>
      </c>
      <c r="S310">
        <v>0</v>
      </c>
    </row>
    <row r="311" spans="1:19" x14ac:dyDescent="0.45">
      <c r="A311" t="s">
        <v>374</v>
      </c>
      <c r="B311" t="s">
        <v>20</v>
      </c>
      <c r="C311" t="s">
        <v>53</v>
      </c>
      <c r="D311" t="s">
        <v>22</v>
      </c>
      <c r="E311" s="1">
        <v>45465</v>
      </c>
      <c r="F311" s="1">
        <v>45468</v>
      </c>
      <c r="G311">
        <v>81</v>
      </c>
      <c r="H311">
        <v>5.21</v>
      </c>
      <c r="I311">
        <v>7.54</v>
      </c>
      <c r="J311">
        <v>2.5299999999999998</v>
      </c>
      <c r="K311">
        <v>0</v>
      </c>
      <c r="L311">
        <v>73.349999999999994</v>
      </c>
      <c r="M311" t="s">
        <v>44</v>
      </c>
      <c r="N311" t="s">
        <v>24</v>
      </c>
      <c r="O311">
        <v>81</v>
      </c>
      <c r="P311">
        <v>6</v>
      </c>
      <c r="Q311" t="s">
        <v>40</v>
      </c>
      <c r="R311" t="s">
        <v>32</v>
      </c>
      <c r="S311">
        <v>0</v>
      </c>
    </row>
    <row r="312" spans="1:19" x14ac:dyDescent="0.45">
      <c r="A312" t="s">
        <v>375</v>
      </c>
      <c r="B312" t="s">
        <v>52</v>
      </c>
      <c r="C312" t="s">
        <v>82</v>
      </c>
      <c r="D312" t="s">
        <v>43</v>
      </c>
      <c r="E312" s="1">
        <v>45581</v>
      </c>
      <c r="F312" s="1">
        <v>45585</v>
      </c>
      <c r="G312">
        <v>96</v>
      </c>
      <c r="H312">
        <v>5.14</v>
      </c>
      <c r="I312">
        <v>7.71</v>
      </c>
      <c r="J312">
        <v>2.5299999999999998</v>
      </c>
      <c r="K312">
        <v>0</v>
      </c>
      <c r="L312">
        <v>9.77</v>
      </c>
      <c r="M312" t="s">
        <v>35</v>
      </c>
      <c r="N312" t="s">
        <v>24</v>
      </c>
      <c r="O312">
        <v>96</v>
      </c>
      <c r="P312">
        <v>10</v>
      </c>
      <c r="Q312" t="s">
        <v>61</v>
      </c>
      <c r="R312" t="s">
        <v>62</v>
      </c>
      <c r="S312">
        <v>0</v>
      </c>
    </row>
    <row r="313" spans="1:19" x14ac:dyDescent="0.45">
      <c r="A313" t="s">
        <v>376</v>
      </c>
      <c r="B313" t="s">
        <v>37</v>
      </c>
      <c r="C313" t="s">
        <v>21</v>
      </c>
      <c r="D313" t="s">
        <v>29</v>
      </c>
      <c r="E313" s="1">
        <v>45413</v>
      </c>
      <c r="F313" s="1">
        <v>45417</v>
      </c>
      <c r="G313">
        <v>87</v>
      </c>
      <c r="H313">
        <v>4.8099999999999996</v>
      </c>
      <c r="I313">
        <v>7.69</v>
      </c>
      <c r="J313">
        <v>2.52</v>
      </c>
      <c r="K313">
        <v>0</v>
      </c>
      <c r="L313">
        <v>29.64</v>
      </c>
      <c r="M313" t="s">
        <v>57</v>
      </c>
      <c r="N313" t="s">
        <v>24</v>
      </c>
      <c r="O313">
        <v>87</v>
      </c>
      <c r="P313">
        <v>5</v>
      </c>
      <c r="Q313" t="s">
        <v>67</v>
      </c>
      <c r="R313" t="s">
        <v>46</v>
      </c>
      <c r="S313">
        <v>0</v>
      </c>
    </row>
    <row r="314" spans="1:19" x14ac:dyDescent="0.45">
      <c r="A314" t="s">
        <v>377</v>
      </c>
      <c r="B314" t="s">
        <v>48</v>
      </c>
      <c r="C314" t="s">
        <v>82</v>
      </c>
      <c r="D314" t="s">
        <v>56</v>
      </c>
      <c r="E314" s="1">
        <v>45656</v>
      </c>
      <c r="F314" s="1">
        <v>45657</v>
      </c>
      <c r="G314">
        <v>19</v>
      </c>
      <c r="H314">
        <v>5.18</v>
      </c>
      <c r="I314">
        <v>7.57</v>
      </c>
      <c r="J314">
        <v>2.59</v>
      </c>
      <c r="K314">
        <v>0</v>
      </c>
      <c r="L314">
        <v>63.31</v>
      </c>
      <c r="M314" t="s">
        <v>75</v>
      </c>
      <c r="N314" t="s">
        <v>24</v>
      </c>
      <c r="O314">
        <v>19</v>
      </c>
      <c r="P314">
        <v>12</v>
      </c>
      <c r="Q314" t="s">
        <v>54</v>
      </c>
      <c r="R314" t="s">
        <v>26</v>
      </c>
      <c r="S314">
        <v>0</v>
      </c>
    </row>
    <row r="315" spans="1:19" x14ac:dyDescent="0.45">
      <c r="A315" t="s">
        <v>378</v>
      </c>
      <c r="B315" t="s">
        <v>20</v>
      </c>
      <c r="C315" t="s">
        <v>93</v>
      </c>
      <c r="D315" t="s">
        <v>50</v>
      </c>
      <c r="E315" s="1">
        <v>45528.291666666664</v>
      </c>
      <c r="F315" s="1">
        <v>45530.083333333336</v>
      </c>
      <c r="G315">
        <v>43</v>
      </c>
      <c r="H315">
        <v>4.9000000000000004</v>
      </c>
      <c r="I315">
        <v>7.75</v>
      </c>
      <c r="J315">
        <v>2.68</v>
      </c>
      <c r="K315">
        <v>0</v>
      </c>
      <c r="L315">
        <v>53.17</v>
      </c>
      <c r="M315" t="s">
        <v>44</v>
      </c>
      <c r="N315" t="s">
        <v>24</v>
      </c>
      <c r="O315">
        <v>43</v>
      </c>
      <c r="P315">
        <v>8</v>
      </c>
      <c r="Q315" t="s">
        <v>58</v>
      </c>
      <c r="R315" t="s">
        <v>32</v>
      </c>
      <c r="S315">
        <v>0</v>
      </c>
    </row>
    <row r="316" spans="1:19" x14ac:dyDescent="0.45">
      <c r="A316" t="s">
        <v>379</v>
      </c>
      <c r="B316" t="s">
        <v>37</v>
      </c>
      <c r="C316" t="s">
        <v>42</v>
      </c>
      <c r="D316" t="s">
        <v>56</v>
      </c>
      <c r="E316" s="1">
        <v>45526</v>
      </c>
      <c r="F316" s="1">
        <v>45528</v>
      </c>
      <c r="G316">
        <v>43</v>
      </c>
      <c r="H316">
        <v>5.41</v>
      </c>
      <c r="I316">
        <v>7.65</v>
      </c>
      <c r="J316">
        <v>2.52</v>
      </c>
      <c r="K316">
        <v>0</v>
      </c>
      <c r="L316">
        <v>5.67</v>
      </c>
      <c r="M316" t="s">
        <v>23</v>
      </c>
      <c r="N316" t="s">
        <v>24</v>
      </c>
      <c r="O316">
        <v>43</v>
      </c>
      <c r="P316">
        <v>8</v>
      </c>
      <c r="Q316" t="s">
        <v>58</v>
      </c>
      <c r="R316" t="s">
        <v>32</v>
      </c>
      <c r="S316">
        <v>0</v>
      </c>
    </row>
    <row r="317" spans="1:19" x14ac:dyDescent="0.45">
      <c r="A317" t="s">
        <v>380</v>
      </c>
      <c r="B317" t="s">
        <v>37</v>
      </c>
      <c r="C317" t="s">
        <v>21</v>
      </c>
      <c r="D317" t="s">
        <v>22</v>
      </c>
      <c r="E317" s="1">
        <v>45564</v>
      </c>
      <c r="F317" s="1">
        <v>45568</v>
      </c>
      <c r="G317">
        <v>83</v>
      </c>
      <c r="H317">
        <v>5.17</v>
      </c>
      <c r="I317">
        <v>7.8</v>
      </c>
      <c r="J317">
        <v>2.59</v>
      </c>
      <c r="K317">
        <v>0</v>
      </c>
      <c r="L317">
        <v>59.81</v>
      </c>
      <c r="M317" t="s">
        <v>106</v>
      </c>
      <c r="N317" t="s">
        <v>24</v>
      </c>
      <c r="O317">
        <v>83</v>
      </c>
      <c r="P317">
        <v>9</v>
      </c>
      <c r="Q317" t="s">
        <v>76</v>
      </c>
      <c r="R317" t="s">
        <v>32</v>
      </c>
      <c r="S317">
        <v>0</v>
      </c>
    </row>
    <row r="318" spans="1:19" x14ac:dyDescent="0.45">
      <c r="A318" t="s">
        <v>381</v>
      </c>
      <c r="B318" t="s">
        <v>37</v>
      </c>
      <c r="C318" t="s">
        <v>82</v>
      </c>
      <c r="D318" t="s">
        <v>50</v>
      </c>
      <c r="E318" s="1">
        <v>45617.708333333336</v>
      </c>
      <c r="F318" s="1">
        <v>45620.708333333336</v>
      </c>
      <c r="G318">
        <v>72</v>
      </c>
      <c r="H318">
        <v>5.44</v>
      </c>
      <c r="I318">
        <v>7.77</v>
      </c>
      <c r="J318">
        <v>2.73</v>
      </c>
      <c r="K318">
        <v>0</v>
      </c>
      <c r="L318">
        <v>14.93</v>
      </c>
      <c r="M318" t="s">
        <v>30</v>
      </c>
      <c r="N318" t="s">
        <v>24</v>
      </c>
      <c r="O318">
        <v>72</v>
      </c>
      <c r="P318">
        <v>11</v>
      </c>
      <c r="Q318" t="s">
        <v>89</v>
      </c>
      <c r="R318" t="s">
        <v>62</v>
      </c>
      <c r="S318">
        <v>0</v>
      </c>
    </row>
    <row r="319" spans="1:19" x14ac:dyDescent="0.45">
      <c r="A319" t="s">
        <v>382</v>
      </c>
      <c r="B319" t="s">
        <v>28</v>
      </c>
      <c r="C319" t="s">
        <v>93</v>
      </c>
      <c r="D319" t="s">
        <v>22</v>
      </c>
      <c r="E319" s="1">
        <v>45407.041666666664</v>
      </c>
      <c r="F319" s="1">
        <v>45409</v>
      </c>
      <c r="G319">
        <v>47</v>
      </c>
      <c r="H319">
        <v>5.09</v>
      </c>
      <c r="I319">
        <v>7.66</v>
      </c>
      <c r="J319">
        <v>2.54</v>
      </c>
      <c r="K319">
        <v>0</v>
      </c>
      <c r="L319">
        <v>32.090000000000003</v>
      </c>
      <c r="M319" t="s">
        <v>75</v>
      </c>
      <c r="N319" t="s">
        <v>24</v>
      </c>
      <c r="O319">
        <v>47</v>
      </c>
      <c r="P319">
        <v>4</v>
      </c>
      <c r="Q319" t="s">
        <v>69</v>
      </c>
      <c r="R319" t="s">
        <v>46</v>
      </c>
      <c r="S319">
        <v>0</v>
      </c>
    </row>
    <row r="320" spans="1:19" x14ac:dyDescent="0.45">
      <c r="A320" t="s">
        <v>383</v>
      </c>
      <c r="B320" t="s">
        <v>20</v>
      </c>
      <c r="C320" t="s">
        <v>34</v>
      </c>
      <c r="D320" t="s">
        <v>56</v>
      </c>
      <c r="E320" s="1">
        <v>45440</v>
      </c>
      <c r="F320" s="1">
        <v>45441</v>
      </c>
      <c r="G320">
        <v>27</v>
      </c>
      <c r="H320">
        <v>5.48</v>
      </c>
      <c r="I320">
        <v>7.75</v>
      </c>
      <c r="J320">
        <v>2.77</v>
      </c>
      <c r="K320">
        <v>0</v>
      </c>
      <c r="L320">
        <v>14.94</v>
      </c>
      <c r="M320" t="s">
        <v>35</v>
      </c>
      <c r="N320" t="s">
        <v>24</v>
      </c>
      <c r="O320">
        <v>27</v>
      </c>
      <c r="P320">
        <v>5</v>
      </c>
      <c r="Q320" t="s">
        <v>67</v>
      </c>
      <c r="R320" t="s">
        <v>46</v>
      </c>
      <c r="S320">
        <v>0</v>
      </c>
    </row>
    <row r="321" spans="1:19" x14ac:dyDescent="0.45">
      <c r="A321" t="s">
        <v>384</v>
      </c>
      <c r="B321" t="s">
        <v>37</v>
      </c>
      <c r="C321" t="s">
        <v>42</v>
      </c>
      <c r="D321" t="s">
        <v>56</v>
      </c>
      <c r="E321" s="1">
        <v>45354</v>
      </c>
      <c r="F321" s="1">
        <v>45356</v>
      </c>
      <c r="G321">
        <v>61</v>
      </c>
      <c r="H321">
        <v>4.8600000000000003</v>
      </c>
      <c r="I321">
        <v>7.7</v>
      </c>
      <c r="J321">
        <v>2.58</v>
      </c>
      <c r="K321">
        <v>0</v>
      </c>
      <c r="L321">
        <v>31.76</v>
      </c>
      <c r="M321" t="s">
        <v>44</v>
      </c>
      <c r="N321" t="s">
        <v>24</v>
      </c>
      <c r="O321">
        <v>61</v>
      </c>
      <c r="P321">
        <v>3</v>
      </c>
      <c r="Q321" t="s">
        <v>45</v>
      </c>
      <c r="R321" t="s">
        <v>46</v>
      </c>
      <c r="S321">
        <v>0</v>
      </c>
    </row>
    <row r="322" spans="1:19" x14ac:dyDescent="0.45">
      <c r="A322" t="s">
        <v>385</v>
      </c>
      <c r="B322" t="s">
        <v>52</v>
      </c>
      <c r="C322" t="s">
        <v>21</v>
      </c>
      <c r="D322" t="s">
        <v>50</v>
      </c>
      <c r="E322" s="1">
        <v>45621.708333333336</v>
      </c>
      <c r="F322" s="1">
        <v>45622.541666666664</v>
      </c>
      <c r="G322">
        <v>20</v>
      </c>
      <c r="H322">
        <v>5.35</v>
      </c>
      <c r="I322">
        <v>7.2</v>
      </c>
      <c r="J322">
        <v>3</v>
      </c>
      <c r="K322">
        <v>0</v>
      </c>
      <c r="L322">
        <v>49.1</v>
      </c>
      <c r="M322" t="s">
        <v>79</v>
      </c>
      <c r="N322" t="s">
        <v>24</v>
      </c>
      <c r="O322">
        <v>20</v>
      </c>
      <c r="P322">
        <v>11</v>
      </c>
      <c r="Q322" t="s">
        <v>89</v>
      </c>
      <c r="R322" t="s">
        <v>62</v>
      </c>
      <c r="S322">
        <v>0</v>
      </c>
    </row>
    <row r="323" spans="1:19" x14ac:dyDescent="0.45">
      <c r="A323" t="s">
        <v>386</v>
      </c>
      <c r="B323" t="s">
        <v>37</v>
      </c>
      <c r="C323" t="s">
        <v>42</v>
      </c>
      <c r="D323" t="s">
        <v>78</v>
      </c>
      <c r="E323" s="1">
        <v>45564</v>
      </c>
      <c r="F323" s="1">
        <v>45567</v>
      </c>
      <c r="G323">
        <v>81</v>
      </c>
      <c r="H323">
        <v>5.42</v>
      </c>
      <c r="I323">
        <v>7.8</v>
      </c>
      <c r="J323">
        <v>2.5099999999999998</v>
      </c>
      <c r="K323">
        <v>0</v>
      </c>
      <c r="L323">
        <v>76.47</v>
      </c>
      <c r="M323" t="s">
        <v>75</v>
      </c>
      <c r="N323" t="s">
        <v>24</v>
      </c>
      <c r="O323">
        <v>81</v>
      </c>
      <c r="P323">
        <v>9</v>
      </c>
      <c r="Q323" t="s">
        <v>76</v>
      </c>
      <c r="R323" t="s">
        <v>32</v>
      </c>
      <c r="S323">
        <v>0</v>
      </c>
    </row>
    <row r="324" spans="1:19" x14ac:dyDescent="0.45">
      <c r="A324" t="s">
        <v>387</v>
      </c>
      <c r="B324" t="s">
        <v>28</v>
      </c>
      <c r="C324" t="s">
        <v>34</v>
      </c>
      <c r="D324" t="s">
        <v>50</v>
      </c>
      <c r="E324" s="1">
        <v>45406</v>
      </c>
      <c r="F324" s="1">
        <v>45407</v>
      </c>
      <c r="G324">
        <v>25</v>
      </c>
      <c r="H324">
        <v>4.5599999999999996</v>
      </c>
      <c r="I324">
        <v>7.35</v>
      </c>
      <c r="J324">
        <v>2.5299999999999998</v>
      </c>
      <c r="K324">
        <v>0</v>
      </c>
      <c r="L324">
        <v>55.75</v>
      </c>
      <c r="M324" t="s">
        <v>44</v>
      </c>
      <c r="N324" t="s">
        <v>24</v>
      </c>
      <c r="O324">
        <v>25</v>
      </c>
      <c r="P324">
        <v>4</v>
      </c>
      <c r="Q324" t="s">
        <v>69</v>
      </c>
      <c r="R324" t="s">
        <v>46</v>
      </c>
      <c r="S324">
        <v>0</v>
      </c>
    </row>
    <row r="325" spans="1:19" x14ac:dyDescent="0.45">
      <c r="A325" t="s">
        <v>388</v>
      </c>
      <c r="B325" t="s">
        <v>48</v>
      </c>
      <c r="C325" t="s">
        <v>93</v>
      </c>
      <c r="D325" t="s">
        <v>29</v>
      </c>
      <c r="E325" s="1">
        <v>45422</v>
      </c>
      <c r="F325" s="1">
        <v>45423</v>
      </c>
      <c r="G325">
        <v>19</v>
      </c>
      <c r="H325">
        <v>6.23</v>
      </c>
      <c r="I325">
        <v>7.68</v>
      </c>
      <c r="J325">
        <v>2.68</v>
      </c>
      <c r="K325">
        <v>0</v>
      </c>
      <c r="L325">
        <v>41.78</v>
      </c>
      <c r="M325" t="s">
        <v>75</v>
      </c>
      <c r="N325" t="s">
        <v>24</v>
      </c>
      <c r="O325">
        <v>19</v>
      </c>
      <c r="P325">
        <v>5</v>
      </c>
      <c r="Q325" t="s">
        <v>67</v>
      </c>
      <c r="R325" t="s">
        <v>46</v>
      </c>
      <c r="S325">
        <v>0</v>
      </c>
    </row>
    <row r="326" spans="1:19" x14ac:dyDescent="0.45">
      <c r="A326" t="s">
        <v>389</v>
      </c>
      <c r="B326" t="s">
        <v>20</v>
      </c>
      <c r="C326" t="s">
        <v>38</v>
      </c>
      <c r="D326" t="s">
        <v>50</v>
      </c>
      <c r="E326" s="1">
        <v>45476</v>
      </c>
      <c r="F326" s="1">
        <v>45480</v>
      </c>
      <c r="G326">
        <v>83</v>
      </c>
      <c r="H326">
        <v>5.21</v>
      </c>
      <c r="I326">
        <v>7.67</v>
      </c>
      <c r="J326">
        <v>2.5</v>
      </c>
      <c r="K326">
        <v>0</v>
      </c>
      <c r="L326">
        <v>74.89</v>
      </c>
      <c r="M326" t="s">
        <v>30</v>
      </c>
      <c r="N326" t="s">
        <v>24</v>
      </c>
      <c r="O326">
        <v>83</v>
      </c>
      <c r="P326">
        <v>7</v>
      </c>
      <c r="Q326" t="s">
        <v>31</v>
      </c>
      <c r="R326" t="s">
        <v>32</v>
      </c>
      <c r="S326">
        <v>0</v>
      </c>
    </row>
    <row r="327" spans="1:19" x14ac:dyDescent="0.45">
      <c r="A327" t="s">
        <v>390</v>
      </c>
      <c r="B327" t="s">
        <v>37</v>
      </c>
      <c r="C327" t="s">
        <v>93</v>
      </c>
      <c r="D327" t="s">
        <v>29</v>
      </c>
      <c r="E327" s="1">
        <v>45604</v>
      </c>
      <c r="F327" s="1">
        <v>45605</v>
      </c>
      <c r="G327">
        <v>24</v>
      </c>
      <c r="H327">
        <v>5.3</v>
      </c>
      <c r="I327">
        <v>9.3699999999999992</v>
      </c>
      <c r="J327">
        <v>2.54</v>
      </c>
      <c r="K327">
        <v>1</v>
      </c>
      <c r="L327">
        <v>48.19</v>
      </c>
      <c r="M327" t="s">
        <v>57</v>
      </c>
      <c r="N327" t="s">
        <v>109</v>
      </c>
      <c r="O327">
        <v>24</v>
      </c>
      <c r="P327">
        <v>11</v>
      </c>
      <c r="Q327" t="s">
        <v>89</v>
      </c>
      <c r="R327" t="s">
        <v>62</v>
      </c>
      <c r="S327">
        <v>0</v>
      </c>
    </row>
    <row r="328" spans="1:19" x14ac:dyDescent="0.45">
      <c r="A328" t="s">
        <v>391</v>
      </c>
      <c r="B328" t="s">
        <v>48</v>
      </c>
      <c r="C328" t="s">
        <v>53</v>
      </c>
      <c r="D328" t="s">
        <v>29</v>
      </c>
      <c r="E328" s="1">
        <v>45457.083333333336</v>
      </c>
      <c r="F328" s="1">
        <v>45457.833333333336</v>
      </c>
      <c r="G328">
        <v>18</v>
      </c>
      <c r="H328">
        <v>5.84</v>
      </c>
      <c r="I328">
        <v>7.78</v>
      </c>
      <c r="J328">
        <v>3.83</v>
      </c>
      <c r="K328">
        <v>0</v>
      </c>
      <c r="L328">
        <v>15.27</v>
      </c>
      <c r="M328" t="s">
        <v>75</v>
      </c>
      <c r="N328" t="s">
        <v>24</v>
      </c>
      <c r="O328">
        <v>18</v>
      </c>
      <c r="P328">
        <v>6</v>
      </c>
      <c r="Q328" t="s">
        <v>40</v>
      </c>
      <c r="R328" t="s">
        <v>32</v>
      </c>
      <c r="S328">
        <v>0</v>
      </c>
    </row>
    <row r="329" spans="1:19" x14ac:dyDescent="0.45">
      <c r="A329" t="s">
        <v>392</v>
      </c>
      <c r="B329" t="s">
        <v>28</v>
      </c>
      <c r="C329" t="s">
        <v>42</v>
      </c>
      <c r="D329" t="s">
        <v>50</v>
      </c>
      <c r="E329" s="1">
        <v>45564</v>
      </c>
      <c r="F329" s="1">
        <v>45567</v>
      </c>
      <c r="G329">
        <v>62</v>
      </c>
      <c r="H329">
        <v>5.25</v>
      </c>
      <c r="I329">
        <v>8.92</v>
      </c>
      <c r="J329">
        <v>2.6</v>
      </c>
      <c r="K329">
        <v>2</v>
      </c>
      <c r="L329">
        <v>23.65</v>
      </c>
      <c r="M329" t="s">
        <v>43</v>
      </c>
      <c r="N329" t="s">
        <v>109</v>
      </c>
      <c r="O329">
        <v>62</v>
      </c>
      <c r="P329">
        <v>9</v>
      </c>
      <c r="Q329" t="s">
        <v>76</v>
      </c>
      <c r="R329" t="s">
        <v>32</v>
      </c>
      <c r="S329">
        <v>0</v>
      </c>
    </row>
    <row r="330" spans="1:19" x14ac:dyDescent="0.45">
      <c r="A330" t="s">
        <v>393</v>
      </c>
      <c r="B330" t="s">
        <v>48</v>
      </c>
      <c r="C330" t="s">
        <v>53</v>
      </c>
      <c r="D330" t="s">
        <v>29</v>
      </c>
      <c r="E330" s="1">
        <v>45468.5</v>
      </c>
      <c r="F330" s="1">
        <v>45470.083333333336</v>
      </c>
      <c r="G330">
        <v>38</v>
      </c>
      <c r="H330">
        <v>5.82</v>
      </c>
      <c r="I330">
        <v>9.3800000000000008</v>
      </c>
      <c r="J330">
        <v>2.71</v>
      </c>
      <c r="K330">
        <v>2</v>
      </c>
      <c r="L330">
        <v>73.790000000000006</v>
      </c>
      <c r="M330" t="s">
        <v>106</v>
      </c>
      <c r="N330" t="s">
        <v>109</v>
      </c>
      <c r="O330">
        <v>38</v>
      </c>
      <c r="P330">
        <v>6</v>
      </c>
      <c r="Q330" t="s">
        <v>40</v>
      </c>
      <c r="R330" t="s">
        <v>32</v>
      </c>
      <c r="S330">
        <v>0</v>
      </c>
    </row>
    <row r="331" spans="1:19" x14ac:dyDescent="0.45">
      <c r="A331" t="s">
        <v>394</v>
      </c>
      <c r="B331" t="s">
        <v>52</v>
      </c>
      <c r="C331" t="s">
        <v>21</v>
      </c>
      <c r="D331" t="s">
        <v>56</v>
      </c>
      <c r="E331" s="1">
        <v>45433.708333333336</v>
      </c>
      <c r="F331" s="1">
        <v>45435.875</v>
      </c>
      <c r="G331">
        <v>52</v>
      </c>
      <c r="H331">
        <v>5.19</v>
      </c>
      <c r="I331">
        <v>7.75</v>
      </c>
      <c r="J331">
        <v>2.5</v>
      </c>
      <c r="K331">
        <v>0</v>
      </c>
      <c r="L331">
        <v>62.96</v>
      </c>
      <c r="M331" t="s">
        <v>79</v>
      </c>
      <c r="N331" t="s">
        <v>24</v>
      </c>
      <c r="O331">
        <v>52</v>
      </c>
      <c r="P331">
        <v>5</v>
      </c>
      <c r="Q331" t="s">
        <v>67</v>
      </c>
      <c r="R331" t="s">
        <v>46</v>
      </c>
      <c r="S331">
        <v>0</v>
      </c>
    </row>
    <row r="332" spans="1:19" x14ac:dyDescent="0.45">
      <c r="A332" t="s">
        <v>395</v>
      </c>
      <c r="B332" t="s">
        <v>52</v>
      </c>
      <c r="C332" t="s">
        <v>53</v>
      </c>
      <c r="D332" t="s">
        <v>50</v>
      </c>
      <c r="E332" s="1">
        <v>45428.375</v>
      </c>
      <c r="F332" s="1">
        <v>45430.166666666664</v>
      </c>
      <c r="G332">
        <v>43</v>
      </c>
      <c r="H332">
        <v>5.23</v>
      </c>
      <c r="I332">
        <v>7.77</v>
      </c>
      <c r="J332">
        <v>2.69</v>
      </c>
      <c r="K332">
        <v>0</v>
      </c>
      <c r="L332">
        <v>11.55</v>
      </c>
      <c r="M332" t="s">
        <v>23</v>
      </c>
      <c r="N332" t="s">
        <v>24</v>
      </c>
      <c r="O332">
        <v>43</v>
      </c>
      <c r="P332">
        <v>5</v>
      </c>
      <c r="Q332" t="s">
        <v>67</v>
      </c>
      <c r="R332" t="s">
        <v>46</v>
      </c>
      <c r="S332">
        <v>0</v>
      </c>
    </row>
    <row r="333" spans="1:19" x14ac:dyDescent="0.45">
      <c r="A333" t="s">
        <v>396</v>
      </c>
      <c r="B333" t="s">
        <v>48</v>
      </c>
      <c r="C333" t="s">
        <v>93</v>
      </c>
      <c r="D333" t="s">
        <v>29</v>
      </c>
      <c r="E333" s="1">
        <v>45397.5</v>
      </c>
      <c r="F333" s="1">
        <v>45401.083333333336</v>
      </c>
      <c r="G333">
        <v>86</v>
      </c>
      <c r="H333">
        <v>5.25</v>
      </c>
      <c r="I333">
        <v>7.79</v>
      </c>
      <c r="J333">
        <v>2.6</v>
      </c>
      <c r="K333">
        <v>0</v>
      </c>
      <c r="L333">
        <v>45.23</v>
      </c>
      <c r="M333" t="s">
        <v>30</v>
      </c>
      <c r="N333" t="s">
        <v>24</v>
      </c>
      <c r="O333">
        <v>86</v>
      </c>
      <c r="P333">
        <v>4</v>
      </c>
      <c r="Q333" t="s">
        <v>69</v>
      </c>
      <c r="R333" t="s">
        <v>46</v>
      </c>
      <c r="S333">
        <v>0</v>
      </c>
    </row>
    <row r="334" spans="1:19" x14ac:dyDescent="0.45">
      <c r="A334" t="s">
        <v>397</v>
      </c>
      <c r="B334" t="s">
        <v>52</v>
      </c>
      <c r="C334" t="s">
        <v>93</v>
      </c>
      <c r="D334" t="s">
        <v>29</v>
      </c>
      <c r="E334" s="1">
        <v>45296</v>
      </c>
      <c r="F334" s="1">
        <v>45298</v>
      </c>
      <c r="G334">
        <v>54</v>
      </c>
      <c r="H334">
        <v>5.29</v>
      </c>
      <c r="I334">
        <v>7.67</v>
      </c>
      <c r="J334">
        <v>2.5099999999999998</v>
      </c>
      <c r="K334">
        <v>0</v>
      </c>
      <c r="L334">
        <v>6.09</v>
      </c>
      <c r="M334" t="s">
        <v>106</v>
      </c>
      <c r="N334" t="s">
        <v>24</v>
      </c>
      <c r="O334">
        <v>54</v>
      </c>
      <c r="P334">
        <v>1</v>
      </c>
      <c r="Q334" t="s">
        <v>25</v>
      </c>
      <c r="R334" t="s">
        <v>26</v>
      </c>
      <c r="S334">
        <v>0</v>
      </c>
    </row>
    <row r="335" spans="1:19" x14ac:dyDescent="0.45">
      <c r="A335" t="s">
        <v>398</v>
      </c>
      <c r="B335" t="s">
        <v>52</v>
      </c>
      <c r="C335" t="s">
        <v>82</v>
      </c>
      <c r="D335" t="s">
        <v>50</v>
      </c>
      <c r="E335" s="1">
        <v>45614</v>
      </c>
      <c r="F335" s="1">
        <v>45616</v>
      </c>
      <c r="G335">
        <v>52</v>
      </c>
      <c r="H335">
        <v>6.28</v>
      </c>
      <c r="I335">
        <v>12.5</v>
      </c>
      <c r="J335">
        <v>2.5099999999999998</v>
      </c>
      <c r="K335">
        <v>10</v>
      </c>
      <c r="L335">
        <v>55.28</v>
      </c>
      <c r="M335" t="s">
        <v>57</v>
      </c>
      <c r="N335" t="s">
        <v>39</v>
      </c>
      <c r="O335">
        <v>52</v>
      </c>
      <c r="P335">
        <v>11</v>
      </c>
      <c r="Q335" t="s">
        <v>89</v>
      </c>
      <c r="R335" t="s">
        <v>62</v>
      </c>
      <c r="S335">
        <v>55.28</v>
      </c>
    </row>
    <row r="336" spans="1:19" x14ac:dyDescent="0.45">
      <c r="A336" t="s">
        <v>399</v>
      </c>
      <c r="B336" t="s">
        <v>52</v>
      </c>
      <c r="C336" t="s">
        <v>53</v>
      </c>
      <c r="D336" t="s">
        <v>56</v>
      </c>
      <c r="E336" s="1">
        <v>45595.416666666664</v>
      </c>
      <c r="F336" s="1">
        <v>45597.791666666664</v>
      </c>
      <c r="G336">
        <v>57</v>
      </c>
      <c r="H336">
        <v>6.53</v>
      </c>
      <c r="I336">
        <v>12.41</v>
      </c>
      <c r="J336">
        <v>2.5</v>
      </c>
      <c r="K336">
        <v>14</v>
      </c>
      <c r="L336">
        <v>73.55</v>
      </c>
      <c r="M336" t="s">
        <v>106</v>
      </c>
      <c r="N336" t="s">
        <v>39</v>
      </c>
      <c r="O336">
        <v>57</v>
      </c>
      <c r="P336">
        <v>10</v>
      </c>
      <c r="Q336" t="s">
        <v>61</v>
      </c>
      <c r="R336" t="s">
        <v>62</v>
      </c>
      <c r="S336">
        <v>73.55</v>
      </c>
    </row>
    <row r="337" spans="1:19" x14ac:dyDescent="0.45">
      <c r="A337" t="s">
        <v>400</v>
      </c>
      <c r="B337" t="s">
        <v>28</v>
      </c>
      <c r="C337" t="s">
        <v>34</v>
      </c>
      <c r="D337" t="s">
        <v>29</v>
      </c>
      <c r="E337" s="1">
        <v>45351</v>
      </c>
      <c r="F337" s="1">
        <v>45354</v>
      </c>
      <c r="G337">
        <v>71</v>
      </c>
      <c r="H337">
        <v>5.52</v>
      </c>
      <c r="I337">
        <v>7.75</v>
      </c>
      <c r="J337">
        <v>2.67</v>
      </c>
      <c r="K337">
        <v>0</v>
      </c>
      <c r="L337">
        <v>61.59</v>
      </c>
      <c r="M337" t="s">
        <v>44</v>
      </c>
      <c r="N337" t="s">
        <v>24</v>
      </c>
      <c r="O337">
        <v>71</v>
      </c>
      <c r="P337">
        <v>2</v>
      </c>
      <c r="Q337" t="s">
        <v>65</v>
      </c>
      <c r="R337" t="s">
        <v>26</v>
      </c>
      <c r="S337">
        <v>0</v>
      </c>
    </row>
    <row r="338" spans="1:19" x14ac:dyDescent="0.45">
      <c r="A338" t="s">
        <v>401</v>
      </c>
      <c r="B338" t="s">
        <v>28</v>
      </c>
      <c r="C338" t="s">
        <v>21</v>
      </c>
      <c r="D338" t="s">
        <v>78</v>
      </c>
      <c r="E338" s="1">
        <v>45569.166666666664</v>
      </c>
      <c r="F338" s="1">
        <v>45572.583333333336</v>
      </c>
      <c r="G338">
        <v>82</v>
      </c>
      <c r="H338">
        <v>5.13</v>
      </c>
      <c r="I338">
        <v>7.79</v>
      </c>
      <c r="J338">
        <v>2.5299999999999998</v>
      </c>
      <c r="K338">
        <v>0</v>
      </c>
      <c r="L338">
        <v>39.659999999999997</v>
      </c>
      <c r="M338" t="s">
        <v>35</v>
      </c>
      <c r="N338" t="s">
        <v>24</v>
      </c>
      <c r="O338">
        <v>82</v>
      </c>
      <c r="P338">
        <v>10</v>
      </c>
      <c r="Q338" t="s">
        <v>61</v>
      </c>
      <c r="R338" t="s">
        <v>62</v>
      </c>
      <c r="S338">
        <v>0</v>
      </c>
    </row>
    <row r="339" spans="1:19" x14ac:dyDescent="0.45">
      <c r="A339" t="s">
        <v>402</v>
      </c>
      <c r="B339" t="s">
        <v>37</v>
      </c>
      <c r="C339" t="s">
        <v>73</v>
      </c>
      <c r="D339" t="s">
        <v>29</v>
      </c>
      <c r="E339" s="1">
        <v>45455</v>
      </c>
      <c r="F339" s="1">
        <v>45456</v>
      </c>
      <c r="G339">
        <v>37</v>
      </c>
      <c r="H339">
        <v>5.0599999999999996</v>
      </c>
      <c r="I339">
        <v>7.75</v>
      </c>
      <c r="J339">
        <v>2.7</v>
      </c>
      <c r="K339">
        <v>0</v>
      </c>
      <c r="L339">
        <v>8.7200000000000006</v>
      </c>
      <c r="M339" t="s">
        <v>106</v>
      </c>
      <c r="N339" t="s">
        <v>24</v>
      </c>
      <c r="O339">
        <v>37</v>
      </c>
      <c r="P339">
        <v>6</v>
      </c>
      <c r="Q339" t="s">
        <v>40</v>
      </c>
      <c r="R339" t="s">
        <v>32</v>
      </c>
      <c r="S339">
        <v>0</v>
      </c>
    </row>
    <row r="340" spans="1:19" x14ac:dyDescent="0.45">
      <c r="A340" t="s">
        <v>403</v>
      </c>
      <c r="B340" t="s">
        <v>28</v>
      </c>
      <c r="C340" t="s">
        <v>38</v>
      </c>
      <c r="D340" t="s">
        <v>78</v>
      </c>
      <c r="E340" s="1">
        <v>45312</v>
      </c>
      <c r="F340" s="1">
        <v>45314</v>
      </c>
      <c r="G340">
        <v>56</v>
      </c>
      <c r="H340">
        <v>5.0999999999999996</v>
      </c>
      <c r="I340">
        <v>7.67</v>
      </c>
      <c r="J340">
        <v>2.68</v>
      </c>
      <c r="K340">
        <v>0</v>
      </c>
      <c r="L340">
        <v>35.299999999999997</v>
      </c>
      <c r="M340" t="s">
        <v>44</v>
      </c>
      <c r="N340" t="s">
        <v>24</v>
      </c>
      <c r="O340">
        <v>56</v>
      </c>
      <c r="P340">
        <v>1</v>
      </c>
      <c r="Q340" t="s">
        <v>25</v>
      </c>
      <c r="R340" t="s">
        <v>26</v>
      </c>
      <c r="S340">
        <v>0</v>
      </c>
    </row>
    <row r="341" spans="1:19" x14ac:dyDescent="0.45">
      <c r="A341" t="s">
        <v>404</v>
      </c>
      <c r="B341" t="s">
        <v>28</v>
      </c>
      <c r="C341" t="s">
        <v>82</v>
      </c>
      <c r="D341" t="s">
        <v>50</v>
      </c>
      <c r="E341" s="1">
        <v>45645</v>
      </c>
      <c r="F341" s="1">
        <v>45646</v>
      </c>
      <c r="G341">
        <v>29</v>
      </c>
      <c r="H341">
        <v>4.6500000000000004</v>
      </c>
      <c r="I341">
        <v>7.58</v>
      </c>
      <c r="J341">
        <v>2.73</v>
      </c>
      <c r="K341">
        <v>0</v>
      </c>
      <c r="L341">
        <v>66.28</v>
      </c>
      <c r="M341" t="s">
        <v>35</v>
      </c>
      <c r="N341" t="s">
        <v>24</v>
      </c>
      <c r="O341">
        <v>29</v>
      </c>
      <c r="P341">
        <v>12</v>
      </c>
      <c r="Q341" t="s">
        <v>54</v>
      </c>
      <c r="R341" t="s">
        <v>26</v>
      </c>
      <c r="S341">
        <v>0</v>
      </c>
    </row>
    <row r="342" spans="1:19" x14ac:dyDescent="0.45">
      <c r="A342" t="s">
        <v>405</v>
      </c>
      <c r="B342" t="s">
        <v>37</v>
      </c>
      <c r="C342" t="s">
        <v>73</v>
      </c>
      <c r="D342" t="s">
        <v>50</v>
      </c>
      <c r="E342" s="1">
        <v>45522.75</v>
      </c>
      <c r="F342" s="1">
        <v>45524.333333333336</v>
      </c>
      <c r="G342">
        <v>38</v>
      </c>
      <c r="H342">
        <v>5.38</v>
      </c>
      <c r="I342">
        <v>7.74</v>
      </c>
      <c r="J342">
        <v>2.59</v>
      </c>
      <c r="K342">
        <v>0</v>
      </c>
      <c r="L342">
        <v>75.41</v>
      </c>
      <c r="M342" t="s">
        <v>23</v>
      </c>
      <c r="N342" t="s">
        <v>24</v>
      </c>
      <c r="O342">
        <v>38</v>
      </c>
      <c r="P342">
        <v>8</v>
      </c>
      <c r="Q342" t="s">
        <v>58</v>
      </c>
      <c r="R342" t="s">
        <v>32</v>
      </c>
      <c r="S342">
        <v>0</v>
      </c>
    </row>
    <row r="343" spans="1:19" x14ac:dyDescent="0.45">
      <c r="A343" t="s">
        <v>406</v>
      </c>
      <c r="B343" t="s">
        <v>28</v>
      </c>
      <c r="C343" t="s">
        <v>82</v>
      </c>
      <c r="D343" t="s">
        <v>56</v>
      </c>
      <c r="E343" s="1">
        <v>45464</v>
      </c>
      <c r="F343" s="1">
        <v>45465</v>
      </c>
      <c r="G343">
        <v>18</v>
      </c>
      <c r="H343">
        <v>5.36</v>
      </c>
      <c r="I343">
        <v>7.77</v>
      </c>
      <c r="J343">
        <v>2.87</v>
      </c>
      <c r="K343">
        <v>0</v>
      </c>
      <c r="L343">
        <v>65.650000000000006</v>
      </c>
      <c r="M343" t="s">
        <v>30</v>
      </c>
      <c r="N343" t="s">
        <v>24</v>
      </c>
      <c r="O343">
        <v>18</v>
      </c>
      <c r="P343">
        <v>6</v>
      </c>
      <c r="Q343" t="s">
        <v>40</v>
      </c>
      <c r="R343" t="s">
        <v>32</v>
      </c>
      <c r="S343">
        <v>0</v>
      </c>
    </row>
    <row r="344" spans="1:19" x14ac:dyDescent="0.45">
      <c r="A344" t="s">
        <v>407</v>
      </c>
      <c r="B344" t="s">
        <v>28</v>
      </c>
      <c r="C344" t="s">
        <v>38</v>
      </c>
      <c r="D344" t="s">
        <v>50</v>
      </c>
      <c r="E344" s="1">
        <v>45394.416666666664</v>
      </c>
      <c r="F344" s="1">
        <v>45395.541666666664</v>
      </c>
      <c r="G344">
        <v>27</v>
      </c>
      <c r="H344">
        <v>5.38</v>
      </c>
      <c r="I344">
        <v>7.74</v>
      </c>
      <c r="J344">
        <v>2.57</v>
      </c>
      <c r="K344">
        <v>0</v>
      </c>
      <c r="L344">
        <v>39.92</v>
      </c>
      <c r="M344" t="s">
        <v>106</v>
      </c>
      <c r="N344" t="s">
        <v>24</v>
      </c>
      <c r="O344">
        <v>27</v>
      </c>
      <c r="P344">
        <v>4</v>
      </c>
      <c r="Q344" t="s">
        <v>69</v>
      </c>
      <c r="R344" t="s">
        <v>46</v>
      </c>
      <c r="S344">
        <v>0</v>
      </c>
    </row>
    <row r="345" spans="1:19" x14ac:dyDescent="0.45">
      <c r="A345" t="s">
        <v>408</v>
      </c>
      <c r="B345" t="s">
        <v>48</v>
      </c>
      <c r="C345" t="s">
        <v>82</v>
      </c>
      <c r="D345" t="s">
        <v>78</v>
      </c>
      <c r="E345" s="1">
        <v>45642.708333333336</v>
      </c>
      <c r="F345" s="1">
        <v>45645.041666666664</v>
      </c>
      <c r="G345">
        <v>56</v>
      </c>
      <c r="H345">
        <v>6.5</v>
      </c>
      <c r="I345">
        <v>12.2</v>
      </c>
      <c r="J345">
        <v>2.7</v>
      </c>
      <c r="K345">
        <v>12</v>
      </c>
      <c r="L345">
        <v>53.86</v>
      </c>
      <c r="M345" t="s">
        <v>106</v>
      </c>
      <c r="N345" t="s">
        <v>39</v>
      </c>
      <c r="O345">
        <v>56</v>
      </c>
      <c r="P345">
        <v>12</v>
      </c>
      <c r="Q345" t="s">
        <v>54</v>
      </c>
      <c r="R345" t="s">
        <v>26</v>
      </c>
      <c r="S345">
        <v>53.86</v>
      </c>
    </row>
    <row r="346" spans="1:19" x14ac:dyDescent="0.45">
      <c r="A346" t="s">
        <v>409</v>
      </c>
      <c r="B346" t="s">
        <v>48</v>
      </c>
      <c r="C346" t="s">
        <v>82</v>
      </c>
      <c r="D346" t="s">
        <v>50</v>
      </c>
      <c r="E346" s="1">
        <v>45652.666666666664</v>
      </c>
      <c r="F346" s="1">
        <v>45656.583333333336</v>
      </c>
      <c r="G346">
        <v>94</v>
      </c>
      <c r="H346">
        <v>5.14</v>
      </c>
      <c r="I346">
        <v>7.72</v>
      </c>
      <c r="J346">
        <v>2.54</v>
      </c>
      <c r="K346">
        <v>0</v>
      </c>
      <c r="L346">
        <v>13.48</v>
      </c>
      <c r="M346" t="s">
        <v>44</v>
      </c>
      <c r="N346" t="s">
        <v>24</v>
      </c>
      <c r="O346">
        <v>94</v>
      </c>
      <c r="P346">
        <v>12</v>
      </c>
      <c r="Q346" t="s">
        <v>54</v>
      </c>
      <c r="R346" t="s">
        <v>26</v>
      </c>
      <c r="S346">
        <v>0</v>
      </c>
    </row>
    <row r="347" spans="1:19" x14ac:dyDescent="0.45">
      <c r="A347" t="s">
        <v>410</v>
      </c>
      <c r="B347" t="s">
        <v>52</v>
      </c>
      <c r="C347" t="s">
        <v>42</v>
      </c>
      <c r="D347" t="s">
        <v>56</v>
      </c>
      <c r="E347" s="1">
        <v>45463.958333333336</v>
      </c>
      <c r="F347" s="1">
        <v>45464.583333333336</v>
      </c>
      <c r="G347">
        <v>15</v>
      </c>
      <c r="H347">
        <v>5.01</v>
      </c>
      <c r="I347">
        <v>7.75</v>
      </c>
      <c r="J347">
        <v>3.11</v>
      </c>
      <c r="K347">
        <v>0</v>
      </c>
      <c r="L347">
        <v>57.46</v>
      </c>
      <c r="M347" t="s">
        <v>43</v>
      </c>
      <c r="N347" t="s">
        <v>24</v>
      </c>
      <c r="O347">
        <v>15</v>
      </c>
      <c r="P347">
        <v>6</v>
      </c>
      <c r="Q347" t="s">
        <v>40</v>
      </c>
      <c r="R347" t="s">
        <v>32</v>
      </c>
      <c r="S347">
        <v>0</v>
      </c>
    </row>
    <row r="348" spans="1:19" x14ac:dyDescent="0.45">
      <c r="A348" t="s">
        <v>411</v>
      </c>
      <c r="B348" t="s">
        <v>52</v>
      </c>
      <c r="C348" t="s">
        <v>42</v>
      </c>
      <c r="D348" t="s">
        <v>29</v>
      </c>
      <c r="E348" s="1">
        <v>45426</v>
      </c>
      <c r="F348" s="1">
        <v>45427</v>
      </c>
      <c r="G348">
        <v>17</v>
      </c>
      <c r="H348">
        <v>4.78</v>
      </c>
      <c r="I348">
        <v>7.78</v>
      </c>
      <c r="J348">
        <v>2.54</v>
      </c>
      <c r="K348">
        <v>0</v>
      </c>
      <c r="L348">
        <v>51.55</v>
      </c>
      <c r="M348" t="s">
        <v>23</v>
      </c>
      <c r="N348" t="s">
        <v>24</v>
      </c>
      <c r="O348">
        <v>17</v>
      </c>
      <c r="P348">
        <v>5</v>
      </c>
      <c r="Q348" t="s">
        <v>67</v>
      </c>
      <c r="R348" t="s">
        <v>46</v>
      </c>
      <c r="S348">
        <v>0</v>
      </c>
    </row>
    <row r="349" spans="1:19" x14ac:dyDescent="0.45">
      <c r="A349" t="s">
        <v>412</v>
      </c>
      <c r="B349" t="s">
        <v>48</v>
      </c>
      <c r="C349" t="s">
        <v>73</v>
      </c>
      <c r="D349" t="s">
        <v>78</v>
      </c>
      <c r="E349" s="1">
        <v>45300.333333333336</v>
      </c>
      <c r="F349" s="1">
        <v>45304.166666666664</v>
      </c>
      <c r="G349">
        <v>92</v>
      </c>
      <c r="H349">
        <v>5.31</v>
      </c>
      <c r="I349">
        <v>7.76</v>
      </c>
      <c r="J349">
        <v>2.61</v>
      </c>
      <c r="K349">
        <v>0</v>
      </c>
      <c r="L349">
        <v>37.61</v>
      </c>
      <c r="M349" t="s">
        <v>23</v>
      </c>
      <c r="N349" t="s">
        <v>24</v>
      </c>
      <c r="O349">
        <v>92</v>
      </c>
      <c r="P349">
        <v>1</v>
      </c>
      <c r="Q349" t="s">
        <v>25</v>
      </c>
      <c r="R349" t="s">
        <v>26</v>
      </c>
      <c r="S349">
        <v>0</v>
      </c>
    </row>
    <row r="350" spans="1:19" x14ac:dyDescent="0.45">
      <c r="A350" t="s">
        <v>413</v>
      </c>
      <c r="B350" t="s">
        <v>28</v>
      </c>
      <c r="C350" t="s">
        <v>93</v>
      </c>
      <c r="D350" t="s">
        <v>78</v>
      </c>
      <c r="E350" s="1">
        <v>45504</v>
      </c>
      <c r="F350" s="1">
        <v>45508</v>
      </c>
      <c r="G350">
        <v>83</v>
      </c>
      <c r="H350">
        <v>5.29</v>
      </c>
      <c r="I350">
        <v>7.76</v>
      </c>
      <c r="J350">
        <v>2.63</v>
      </c>
      <c r="K350">
        <v>0</v>
      </c>
      <c r="L350">
        <v>45.31</v>
      </c>
      <c r="M350" t="s">
        <v>57</v>
      </c>
      <c r="N350" t="s">
        <v>24</v>
      </c>
      <c r="O350">
        <v>83</v>
      </c>
      <c r="P350">
        <v>7</v>
      </c>
      <c r="Q350" t="s">
        <v>31</v>
      </c>
      <c r="R350" t="s">
        <v>32</v>
      </c>
      <c r="S350">
        <v>0</v>
      </c>
    </row>
    <row r="351" spans="1:19" x14ac:dyDescent="0.45">
      <c r="A351" t="s">
        <v>414</v>
      </c>
      <c r="B351" t="s">
        <v>48</v>
      </c>
      <c r="C351" t="s">
        <v>82</v>
      </c>
      <c r="D351" t="s">
        <v>56</v>
      </c>
      <c r="E351" s="1">
        <v>45648</v>
      </c>
      <c r="F351" s="1">
        <v>45651</v>
      </c>
      <c r="G351">
        <v>59</v>
      </c>
      <c r="H351">
        <v>5.19</v>
      </c>
      <c r="I351">
        <v>7.61</v>
      </c>
      <c r="J351">
        <v>2.54</v>
      </c>
      <c r="K351">
        <v>0</v>
      </c>
      <c r="L351">
        <v>63.82</v>
      </c>
      <c r="M351" t="s">
        <v>35</v>
      </c>
      <c r="N351" t="s">
        <v>24</v>
      </c>
      <c r="O351">
        <v>59</v>
      </c>
      <c r="P351">
        <v>12</v>
      </c>
      <c r="Q351" t="s">
        <v>54</v>
      </c>
      <c r="R351" t="s">
        <v>26</v>
      </c>
      <c r="S351">
        <v>0</v>
      </c>
    </row>
    <row r="352" spans="1:19" x14ac:dyDescent="0.45">
      <c r="A352" t="s">
        <v>415</v>
      </c>
      <c r="B352" t="s">
        <v>28</v>
      </c>
      <c r="C352" t="s">
        <v>42</v>
      </c>
      <c r="D352" t="s">
        <v>56</v>
      </c>
      <c r="E352" s="1">
        <v>45429</v>
      </c>
      <c r="F352" s="1">
        <v>45433</v>
      </c>
      <c r="G352">
        <v>85</v>
      </c>
      <c r="H352">
        <v>5.28</v>
      </c>
      <c r="I352">
        <v>7.66</v>
      </c>
      <c r="J352">
        <v>2.5299999999999998</v>
      </c>
      <c r="K352">
        <v>0</v>
      </c>
      <c r="L352">
        <v>34.4</v>
      </c>
      <c r="M352" t="s">
        <v>75</v>
      </c>
      <c r="N352" t="s">
        <v>24</v>
      </c>
      <c r="O352">
        <v>85</v>
      </c>
      <c r="P352">
        <v>5</v>
      </c>
      <c r="Q352" t="s">
        <v>67</v>
      </c>
      <c r="R352" t="s">
        <v>46</v>
      </c>
      <c r="S352">
        <v>0</v>
      </c>
    </row>
    <row r="353" spans="1:19" x14ac:dyDescent="0.45">
      <c r="A353" t="s">
        <v>416</v>
      </c>
      <c r="B353" t="s">
        <v>48</v>
      </c>
      <c r="C353" t="s">
        <v>93</v>
      </c>
      <c r="D353" t="s">
        <v>29</v>
      </c>
      <c r="E353" s="1">
        <v>45641</v>
      </c>
      <c r="F353" s="1">
        <v>45642</v>
      </c>
      <c r="G353">
        <v>35</v>
      </c>
      <c r="H353">
        <v>4.83</v>
      </c>
      <c r="I353">
        <v>7.57</v>
      </c>
      <c r="J353">
        <v>2.5299999999999998</v>
      </c>
      <c r="K353">
        <v>0</v>
      </c>
      <c r="L353">
        <v>77.19</v>
      </c>
      <c r="M353" t="s">
        <v>75</v>
      </c>
      <c r="N353" t="s">
        <v>24</v>
      </c>
      <c r="O353">
        <v>35</v>
      </c>
      <c r="P353">
        <v>12</v>
      </c>
      <c r="Q353" t="s">
        <v>54</v>
      </c>
      <c r="R353" t="s">
        <v>26</v>
      </c>
      <c r="S353">
        <v>0</v>
      </c>
    </row>
    <row r="354" spans="1:19" x14ac:dyDescent="0.45">
      <c r="A354" t="s">
        <v>417</v>
      </c>
      <c r="B354" t="s">
        <v>37</v>
      </c>
      <c r="C354" t="s">
        <v>93</v>
      </c>
      <c r="D354" t="s">
        <v>29</v>
      </c>
      <c r="E354" s="1">
        <v>45426</v>
      </c>
      <c r="F354" s="1">
        <v>45427</v>
      </c>
      <c r="G354">
        <v>18</v>
      </c>
      <c r="H354">
        <v>5.92</v>
      </c>
      <c r="I354">
        <v>7.43</v>
      </c>
      <c r="J354">
        <v>4.0599999999999996</v>
      </c>
      <c r="K354">
        <v>0</v>
      </c>
      <c r="L354">
        <v>50.72</v>
      </c>
      <c r="M354" t="s">
        <v>79</v>
      </c>
      <c r="N354" t="s">
        <v>24</v>
      </c>
      <c r="O354">
        <v>18</v>
      </c>
      <c r="P354">
        <v>5</v>
      </c>
      <c r="Q354" t="s">
        <v>67</v>
      </c>
      <c r="R354" t="s">
        <v>46</v>
      </c>
      <c r="S354">
        <v>0</v>
      </c>
    </row>
    <row r="355" spans="1:19" x14ac:dyDescent="0.45">
      <c r="A355" t="s">
        <v>418</v>
      </c>
      <c r="B355" t="s">
        <v>52</v>
      </c>
      <c r="C355" t="s">
        <v>82</v>
      </c>
      <c r="D355" t="s">
        <v>78</v>
      </c>
      <c r="E355" s="1">
        <v>45293.125</v>
      </c>
      <c r="F355" s="1">
        <v>45295.041666666664</v>
      </c>
      <c r="G355">
        <v>46</v>
      </c>
      <c r="H355">
        <v>6.52</v>
      </c>
      <c r="I355">
        <v>12.11</v>
      </c>
      <c r="J355">
        <v>2.54</v>
      </c>
      <c r="K355">
        <v>12</v>
      </c>
      <c r="L355">
        <v>44.6</v>
      </c>
      <c r="M355" t="s">
        <v>35</v>
      </c>
      <c r="N355" t="s">
        <v>39</v>
      </c>
      <c r="O355">
        <v>46</v>
      </c>
      <c r="P355">
        <v>1</v>
      </c>
      <c r="Q355" t="s">
        <v>25</v>
      </c>
      <c r="R355" t="s">
        <v>26</v>
      </c>
      <c r="S355">
        <v>44.6</v>
      </c>
    </row>
    <row r="356" spans="1:19" x14ac:dyDescent="0.45">
      <c r="A356" t="s">
        <v>419</v>
      </c>
      <c r="B356" t="s">
        <v>52</v>
      </c>
      <c r="C356" t="s">
        <v>42</v>
      </c>
      <c r="D356" t="s">
        <v>50</v>
      </c>
      <c r="E356" s="1">
        <v>45501</v>
      </c>
      <c r="F356" s="1">
        <v>45502</v>
      </c>
      <c r="G356">
        <v>25</v>
      </c>
      <c r="H356">
        <v>4.8099999999999996</v>
      </c>
      <c r="I356">
        <v>7.62</v>
      </c>
      <c r="J356">
        <v>2.5299999999999998</v>
      </c>
      <c r="K356">
        <v>0</v>
      </c>
      <c r="L356">
        <v>42.06</v>
      </c>
      <c r="M356" t="s">
        <v>44</v>
      </c>
      <c r="N356" t="s">
        <v>24</v>
      </c>
      <c r="O356">
        <v>25</v>
      </c>
      <c r="P356">
        <v>7</v>
      </c>
      <c r="Q356" t="s">
        <v>31</v>
      </c>
      <c r="R356" t="s">
        <v>32</v>
      </c>
      <c r="S356">
        <v>0</v>
      </c>
    </row>
    <row r="357" spans="1:19" x14ac:dyDescent="0.45">
      <c r="A357" t="s">
        <v>420</v>
      </c>
      <c r="B357" t="s">
        <v>52</v>
      </c>
      <c r="C357" t="s">
        <v>21</v>
      </c>
      <c r="D357" t="s">
        <v>22</v>
      </c>
      <c r="E357" s="1">
        <v>45529</v>
      </c>
      <c r="F357" s="1">
        <v>45533</v>
      </c>
      <c r="G357">
        <v>91</v>
      </c>
      <c r="H357">
        <v>5.26</v>
      </c>
      <c r="I357">
        <v>7.52</v>
      </c>
      <c r="J357">
        <v>2.56</v>
      </c>
      <c r="K357">
        <v>0</v>
      </c>
      <c r="L357">
        <v>49.61</v>
      </c>
      <c r="M357" t="s">
        <v>30</v>
      </c>
      <c r="N357" t="s">
        <v>24</v>
      </c>
      <c r="O357">
        <v>91</v>
      </c>
      <c r="P357">
        <v>8</v>
      </c>
      <c r="Q357" t="s">
        <v>58</v>
      </c>
      <c r="R357" t="s">
        <v>32</v>
      </c>
      <c r="S357">
        <v>0</v>
      </c>
    </row>
    <row r="358" spans="1:19" x14ac:dyDescent="0.45">
      <c r="A358" t="s">
        <v>421</v>
      </c>
      <c r="B358" t="s">
        <v>20</v>
      </c>
      <c r="C358" t="s">
        <v>53</v>
      </c>
      <c r="D358" t="s">
        <v>29</v>
      </c>
      <c r="E358" s="1">
        <v>45504</v>
      </c>
      <c r="F358" s="1">
        <v>45508</v>
      </c>
      <c r="G358">
        <v>82</v>
      </c>
      <c r="H358">
        <v>5.09</v>
      </c>
      <c r="I358">
        <v>7.61</v>
      </c>
      <c r="J358">
        <v>2.5299999999999998</v>
      </c>
      <c r="K358">
        <v>0</v>
      </c>
      <c r="L358">
        <v>73.459999999999994</v>
      </c>
      <c r="M358" t="s">
        <v>57</v>
      </c>
      <c r="N358" t="s">
        <v>24</v>
      </c>
      <c r="O358">
        <v>82</v>
      </c>
      <c r="P358">
        <v>7</v>
      </c>
      <c r="Q358" t="s">
        <v>31</v>
      </c>
      <c r="R358" t="s">
        <v>32</v>
      </c>
      <c r="S358">
        <v>0</v>
      </c>
    </row>
    <row r="359" spans="1:19" x14ac:dyDescent="0.45">
      <c r="A359" t="s">
        <v>422</v>
      </c>
      <c r="B359" t="s">
        <v>48</v>
      </c>
      <c r="C359" t="s">
        <v>53</v>
      </c>
      <c r="D359" t="s">
        <v>56</v>
      </c>
      <c r="E359" s="1">
        <v>45343</v>
      </c>
      <c r="F359" s="1">
        <v>45344</v>
      </c>
      <c r="G359">
        <v>43</v>
      </c>
      <c r="H359">
        <v>5.1100000000000003</v>
      </c>
      <c r="I359">
        <v>7.75</v>
      </c>
      <c r="J359">
        <v>2.62</v>
      </c>
      <c r="K359">
        <v>0</v>
      </c>
      <c r="L359">
        <v>54.24</v>
      </c>
      <c r="M359" t="s">
        <v>75</v>
      </c>
      <c r="N359" t="s">
        <v>24</v>
      </c>
      <c r="O359">
        <v>43</v>
      </c>
      <c r="P359">
        <v>2</v>
      </c>
      <c r="Q359" t="s">
        <v>65</v>
      </c>
      <c r="R359" t="s">
        <v>26</v>
      </c>
      <c r="S359">
        <v>0</v>
      </c>
    </row>
    <row r="360" spans="1:19" x14ac:dyDescent="0.45">
      <c r="A360" t="s">
        <v>423</v>
      </c>
      <c r="B360" t="s">
        <v>48</v>
      </c>
      <c r="C360" t="s">
        <v>53</v>
      </c>
      <c r="D360" t="s">
        <v>22</v>
      </c>
      <c r="E360" s="1">
        <v>45442</v>
      </c>
      <c r="F360" s="1">
        <v>45445</v>
      </c>
      <c r="G360">
        <v>92</v>
      </c>
      <c r="H360">
        <v>6.03</v>
      </c>
      <c r="I360">
        <v>12.41</v>
      </c>
      <c r="J360">
        <v>2.54</v>
      </c>
      <c r="K360">
        <v>14</v>
      </c>
      <c r="L360">
        <v>11.71</v>
      </c>
      <c r="M360" t="s">
        <v>79</v>
      </c>
      <c r="N360" t="s">
        <v>39</v>
      </c>
      <c r="O360">
        <v>92</v>
      </c>
      <c r="P360">
        <v>5</v>
      </c>
      <c r="Q360" t="s">
        <v>67</v>
      </c>
      <c r="R360" t="s">
        <v>46</v>
      </c>
      <c r="S360">
        <v>11.71</v>
      </c>
    </row>
    <row r="361" spans="1:19" x14ac:dyDescent="0.45">
      <c r="A361" t="s">
        <v>424</v>
      </c>
      <c r="B361" t="s">
        <v>20</v>
      </c>
      <c r="C361" t="s">
        <v>93</v>
      </c>
      <c r="D361" t="s">
        <v>22</v>
      </c>
      <c r="E361" s="1">
        <v>45434.291666666664</v>
      </c>
      <c r="F361" s="1">
        <v>45435.25</v>
      </c>
      <c r="G361">
        <v>23</v>
      </c>
      <c r="H361">
        <v>4.38</v>
      </c>
      <c r="I361">
        <v>7.8</v>
      </c>
      <c r="J361">
        <v>2.5299999999999998</v>
      </c>
      <c r="K361">
        <v>0</v>
      </c>
      <c r="L361">
        <v>21.35</v>
      </c>
      <c r="M361" t="s">
        <v>44</v>
      </c>
      <c r="N361" t="s">
        <v>24</v>
      </c>
      <c r="O361">
        <v>23</v>
      </c>
      <c r="P361">
        <v>5</v>
      </c>
      <c r="Q361" t="s">
        <v>67</v>
      </c>
      <c r="R361" t="s">
        <v>46</v>
      </c>
      <c r="S361">
        <v>0</v>
      </c>
    </row>
    <row r="362" spans="1:19" x14ac:dyDescent="0.45">
      <c r="A362" t="s">
        <v>425</v>
      </c>
      <c r="B362" t="s">
        <v>52</v>
      </c>
      <c r="C362" t="s">
        <v>34</v>
      </c>
      <c r="D362" t="s">
        <v>56</v>
      </c>
      <c r="E362" s="1">
        <v>45309.333333333336</v>
      </c>
      <c r="F362" s="1">
        <v>45310.458333333336</v>
      </c>
      <c r="G362">
        <v>27</v>
      </c>
      <c r="H362">
        <v>5</v>
      </c>
      <c r="I362">
        <v>7.54</v>
      </c>
      <c r="J362">
        <v>2.81</v>
      </c>
      <c r="K362">
        <v>0</v>
      </c>
      <c r="L362">
        <v>65.97</v>
      </c>
      <c r="M362" t="s">
        <v>57</v>
      </c>
      <c r="N362" t="s">
        <v>24</v>
      </c>
      <c r="O362">
        <v>27</v>
      </c>
      <c r="P362">
        <v>1</v>
      </c>
      <c r="Q362" t="s">
        <v>25</v>
      </c>
      <c r="R362" t="s">
        <v>26</v>
      </c>
      <c r="S362">
        <v>0</v>
      </c>
    </row>
    <row r="363" spans="1:19" x14ac:dyDescent="0.45">
      <c r="A363" t="s">
        <v>426</v>
      </c>
      <c r="B363" t="s">
        <v>20</v>
      </c>
      <c r="C363" t="s">
        <v>34</v>
      </c>
      <c r="D363" t="s">
        <v>78</v>
      </c>
      <c r="E363" s="1">
        <v>45650</v>
      </c>
      <c r="F363" s="1">
        <v>45651</v>
      </c>
      <c r="G363">
        <v>29</v>
      </c>
      <c r="H363">
        <v>5.99</v>
      </c>
      <c r="I363">
        <v>12.36</v>
      </c>
      <c r="J363">
        <v>2.5</v>
      </c>
      <c r="K363">
        <v>5</v>
      </c>
      <c r="L363">
        <v>64.849999999999994</v>
      </c>
      <c r="M363" t="s">
        <v>23</v>
      </c>
      <c r="N363" t="s">
        <v>39</v>
      </c>
      <c r="O363">
        <v>29</v>
      </c>
      <c r="P363">
        <v>12</v>
      </c>
      <c r="Q363" t="s">
        <v>54</v>
      </c>
      <c r="R363" t="s">
        <v>26</v>
      </c>
      <c r="S363">
        <v>64.849999999999994</v>
      </c>
    </row>
    <row r="364" spans="1:19" x14ac:dyDescent="0.45">
      <c r="A364" t="s">
        <v>427</v>
      </c>
      <c r="B364" t="s">
        <v>20</v>
      </c>
      <c r="C364" t="s">
        <v>42</v>
      </c>
      <c r="D364" t="s">
        <v>22</v>
      </c>
      <c r="E364" s="1">
        <v>45584.125</v>
      </c>
      <c r="F364" s="1">
        <v>45586.833333333336</v>
      </c>
      <c r="G364">
        <v>65</v>
      </c>
      <c r="H364">
        <v>5.18</v>
      </c>
      <c r="I364">
        <v>7.76</v>
      </c>
      <c r="J364">
        <v>2.52</v>
      </c>
      <c r="K364">
        <v>0</v>
      </c>
      <c r="L364">
        <v>28.84</v>
      </c>
      <c r="M364" t="s">
        <v>30</v>
      </c>
      <c r="N364" t="s">
        <v>24</v>
      </c>
      <c r="O364">
        <v>65</v>
      </c>
      <c r="P364">
        <v>10</v>
      </c>
      <c r="Q364" t="s">
        <v>61</v>
      </c>
      <c r="R364" t="s">
        <v>62</v>
      </c>
      <c r="S364">
        <v>0</v>
      </c>
    </row>
    <row r="365" spans="1:19" x14ac:dyDescent="0.45">
      <c r="A365" t="s">
        <v>428</v>
      </c>
      <c r="B365" t="s">
        <v>48</v>
      </c>
      <c r="C365" t="s">
        <v>82</v>
      </c>
      <c r="D365" t="s">
        <v>56</v>
      </c>
      <c r="E365" s="1">
        <v>45579.458333333336</v>
      </c>
      <c r="F365" s="1">
        <v>45582.833333333336</v>
      </c>
      <c r="G365">
        <v>81</v>
      </c>
      <c r="H365">
        <v>5.27</v>
      </c>
      <c r="I365">
        <v>7.75</v>
      </c>
      <c r="J365">
        <v>2.52</v>
      </c>
      <c r="K365">
        <v>0</v>
      </c>
      <c r="L365">
        <v>54.28</v>
      </c>
      <c r="M365" t="s">
        <v>23</v>
      </c>
      <c r="N365" t="s">
        <v>24</v>
      </c>
      <c r="O365">
        <v>81</v>
      </c>
      <c r="P365">
        <v>10</v>
      </c>
      <c r="Q365" t="s">
        <v>61</v>
      </c>
      <c r="R365" t="s">
        <v>62</v>
      </c>
      <c r="S365">
        <v>0</v>
      </c>
    </row>
    <row r="366" spans="1:19" x14ac:dyDescent="0.45">
      <c r="A366" t="s">
        <v>429</v>
      </c>
      <c r="B366" t="s">
        <v>37</v>
      </c>
      <c r="C366" t="s">
        <v>42</v>
      </c>
      <c r="D366" t="s">
        <v>43</v>
      </c>
      <c r="E366" s="1">
        <v>45454.25</v>
      </c>
      <c r="F366" s="1">
        <v>45457.791666666664</v>
      </c>
      <c r="G366">
        <v>85</v>
      </c>
      <c r="H366">
        <v>5.03</v>
      </c>
      <c r="I366">
        <v>7.65</v>
      </c>
      <c r="J366">
        <v>2.57</v>
      </c>
      <c r="K366">
        <v>0</v>
      </c>
      <c r="L366">
        <v>66.38</v>
      </c>
      <c r="M366" t="s">
        <v>44</v>
      </c>
      <c r="N366" t="s">
        <v>24</v>
      </c>
      <c r="O366">
        <v>85</v>
      </c>
      <c r="P366">
        <v>6</v>
      </c>
      <c r="Q366" t="s">
        <v>40</v>
      </c>
      <c r="R366" t="s">
        <v>32</v>
      </c>
      <c r="S366">
        <v>0</v>
      </c>
    </row>
    <row r="367" spans="1:19" x14ac:dyDescent="0.45">
      <c r="A367" t="s">
        <v>430</v>
      </c>
      <c r="B367" t="s">
        <v>28</v>
      </c>
      <c r="C367" t="s">
        <v>82</v>
      </c>
      <c r="D367" t="s">
        <v>50</v>
      </c>
      <c r="E367" s="1">
        <v>45500</v>
      </c>
      <c r="F367" s="1">
        <v>45502</v>
      </c>
      <c r="G367">
        <v>49</v>
      </c>
      <c r="H367">
        <v>5.2</v>
      </c>
      <c r="I367">
        <v>7.67</v>
      </c>
      <c r="J367">
        <v>2.58</v>
      </c>
      <c r="K367">
        <v>0</v>
      </c>
      <c r="L367">
        <v>27.94</v>
      </c>
      <c r="M367" t="s">
        <v>30</v>
      </c>
      <c r="N367" t="s">
        <v>24</v>
      </c>
      <c r="O367">
        <v>49</v>
      </c>
      <c r="P367">
        <v>7</v>
      </c>
      <c r="Q367" t="s">
        <v>31</v>
      </c>
      <c r="R367" t="s">
        <v>32</v>
      </c>
      <c r="S367">
        <v>0</v>
      </c>
    </row>
    <row r="368" spans="1:19" x14ac:dyDescent="0.45">
      <c r="A368" t="s">
        <v>431</v>
      </c>
      <c r="B368" t="s">
        <v>28</v>
      </c>
      <c r="C368" t="s">
        <v>53</v>
      </c>
      <c r="D368" t="s">
        <v>50</v>
      </c>
      <c r="E368" s="1">
        <v>45528</v>
      </c>
      <c r="F368" s="1">
        <v>45530</v>
      </c>
      <c r="G368">
        <v>63</v>
      </c>
      <c r="H368">
        <v>5.19</v>
      </c>
      <c r="I368">
        <v>7.7</v>
      </c>
      <c r="J368">
        <v>2.52</v>
      </c>
      <c r="K368">
        <v>0</v>
      </c>
      <c r="L368">
        <v>10.23</v>
      </c>
      <c r="M368" t="s">
        <v>30</v>
      </c>
      <c r="N368" t="s">
        <v>24</v>
      </c>
      <c r="O368">
        <v>63</v>
      </c>
      <c r="P368">
        <v>8</v>
      </c>
      <c r="Q368" t="s">
        <v>58</v>
      </c>
      <c r="R368" t="s">
        <v>32</v>
      </c>
      <c r="S368">
        <v>0</v>
      </c>
    </row>
    <row r="369" spans="1:19" x14ac:dyDescent="0.45">
      <c r="A369" t="s">
        <v>432</v>
      </c>
      <c r="B369" t="s">
        <v>28</v>
      </c>
      <c r="C369" t="s">
        <v>82</v>
      </c>
      <c r="D369" t="s">
        <v>78</v>
      </c>
      <c r="E369" s="1">
        <v>45316.375</v>
      </c>
      <c r="F369" s="1">
        <v>45318.291666666664</v>
      </c>
      <c r="G369">
        <v>46</v>
      </c>
      <c r="H369">
        <v>6.25</v>
      </c>
      <c r="I369">
        <v>12.23</v>
      </c>
      <c r="J369">
        <v>2.5499999999999998</v>
      </c>
      <c r="K369">
        <v>9</v>
      </c>
      <c r="L369">
        <v>34.200000000000003</v>
      </c>
      <c r="M369" t="s">
        <v>106</v>
      </c>
      <c r="N369" t="s">
        <v>39</v>
      </c>
      <c r="O369">
        <v>46</v>
      </c>
      <c r="P369">
        <v>1</v>
      </c>
      <c r="Q369" t="s">
        <v>25</v>
      </c>
      <c r="R369" t="s">
        <v>26</v>
      </c>
      <c r="S369">
        <v>34.200000000000003</v>
      </c>
    </row>
    <row r="370" spans="1:19" x14ac:dyDescent="0.45">
      <c r="A370" t="s">
        <v>433</v>
      </c>
      <c r="B370" t="s">
        <v>48</v>
      </c>
      <c r="C370" t="s">
        <v>53</v>
      </c>
      <c r="D370" t="s">
        <v>78</v>
      </c>
      <c r="E370" s="1">
        <v>45591.416666666664</v>
      </c>
      <c r="F370" s="1">
        <v>45591.916666666664</v>
      </c>
      <c r="G370">
        <v>12</v>
      </c>
      <c r="H370">
        <v>5.25</v>
      </c>
      <c r="I370">
        <v>7.14</v>
      </c>
      <c r="J370">
        <v>3.01</v>
      </c>
      <c r="K370">
        <v>0</v>
      </c>
      <c r="L370">
        <v>75.73</v>
      </c>
      <c r="M370" t="s">
        <v>35</v>
      </c>
      <c r="N370" t="s">
        <v>24</v>
      </c>
      <c r="O370">
        <v>12</v>
      </c>
      <c r="P370">
        <v>10</v>
      </c>
      <c r="Q370" t="s">
        <v>61</v>
      </c>
      <c r="R370" t="s">
        <v>62</v>
      </c>
      <c r="S370">
        <v>0</v>
      </c>
    </row>
    <row r="371" spans="1:19" x14ac:dyDescent="0.45">
      <c r="A371" t="s">
        <v>434</v>
      </c>
      <c r="B371" t="s">
        <v>20</v>
      </c>
      <c r="C371" t="s">
        <v>21</v>
      </c>
      <c r="D371" t="s">
        <v>56</v>
      </c>
      <c r="E371" s="1">
        <v>45294</v>
      </c>
      <c r="F371" s="1">
        <v>45297</v>
      </c>
      <c r="G371">
        <v>76</v>
      </c>
      <c r="H371">
        <v>5.19</v>
      </c>
      <c r="I371">
        <v>7.75</v>
      </c>
      <c r="J371">
        <v>2.5099999999999998</v>
      </c>
      <c r="K371">
        <v>0</v>
      </c>
      <c r="L371">
        <v>59.78</v>
      </c>
      <c r="M371" t="s">
        <v>35</v>
      </c>
      <c r="N371" t="s">
        <v>24</v>
      </c>
      <c r="O371">
        <v>76</v>
      </c>
      <c r="P371">
        <v>1</v>
      </c>
      <c r="Q371" t="s">
        <v>25</v>
      </c>
      <c r="R371" t="s">
        <v>26</v>
      </c>
      <c r="S371">
        <v>0</v>
      </c>
    </row>
    <row r="372" spans="1:19" x14ac:dyDescent="0.45">
      <c r="A372" t="s">
        <v>435</v>
      </c>
      <c r="B372" t="s">
        <v>52</v>
      </c>
      <c r="C372" t="s">
        <v>42</v>
      </c>
      <c r="D372" t="s">
        <v>29</v>
      </c>
      <c r="E372" s="1">
        <v>45514.333333333336</v>
      </c>
      <c r="F372" s="1">
        <v>45514.875</v>
      </c>
      <c r="G372">
        <v>13</v>
      </c>
      <c r="H372">
        <v>8.9600000000000009</v>
      </c>
      <c r="I372">
        <v>11.9</v>
      </c>
      <c r="J372">
        <v>2.86</v>
      </c>
      <c r="K372">
        <v>9</v>
      </c>
      <c r="L372">
        <v>67.75</v>
      </c>
      <c r="M372" t="s">
        <v>44</v>
      </c>
      <c r="N372" t="s">
        <v>39</v>
      </c>
      <c r="O372">
        <v>13</v>
      </c>
      <c r="P372">
        <v>8</v>
      </c>
      <c r="Q372" t="s">
        <v>58</v>
      </c>
      <c r="R372" t="s">
        <v>32</v>
      </c>
      <c r="S372">
        <v>67.75</v>
      </c>
    </row>
    <row r="373" spans="1:19" x14ac:dyDescent="0.45">
      <c r="A373" t="s">
        <v>436</v>
      </c>
      <c r="B373" t="s">
        <v>20</v>
      </c>
      <c r="C373" t="s">
        <v>42</v>
      </c>
      <c r="D373" t="s">
        <v>50</v>
      </c>
      <c r="E373" s="1">
        <v>45393.125</v>
      </c>
      <c r="F373" s="1">
        <v>45393.833333333336</v>
      </c>
      <c r="G373">
        <v>17</v>
      </c>
      <c r="H373">
        <v>5.15</v>
      </c>
      <c r="I373">
        <v>7.3</v>
      </c>
      <c r="J373">
        <v>3.46</v>
      </c>
      <c r="K373">
        <v>0</v>
      </c>
      <c r="L373">
        <v>24.85</v>
      </c>
      <c r="M373" t="s">
        <v>79</v>
      </c>
      <c r="N373" t="s">
        <v>24</v>
      </c>
      <c r="O373">
        <v>17</v>
      </c>
      <c r="P373">
        <v>4</v>
      </c>
      <c r="Q373" t="s">
        <v>69</v>
      </c>
      <c r="R373" t="s">
        <v>46</v>
      </c>
      <c r="S373">
        <v>0</v>
      </c>
    </row>
    <row r="374" spans="1:19" x14ac:dyDescent="0.45">
      <c r="A374" t="s">
        <v>437</v>
      </c>
      <c r="B374" t="s">
        <v>48</v>
      </c>
      <c r="C374" t="s">
        <v>93</v>
      </c>
      <c r="D374" t="s">
        <v>56</v>
      </c>
      <c r="E374" s="1">
        <v>45648</v>
      </c>
      <c r="F374" s="1">
        <v>45649</v>
      </c>
      <c r="G374">
        <v>21</v>
      </c>
      <c r="H374">
        <v>5.19</v>
      </c>
      <c r="I374">
        <v>7.62</v>
      </c>
      <c r="J374">
        <v>3.28</v>
      </c>
      <c r="K374">
        <v>0</v>
      </c>
      <c r="L374">
        <v>50.41</v>
      </c>
      <c r="M374" t="s">
        <v>79</v>
      </c>
      <c r="N374" t="s">
        <v>24</v>
      </c>
      <c r="O374">
        <v>21</v>
      </c>
      <c r="P374">
        <v>12</v>
      </c>
      <c r="Q374" t="s">
        <v>54</v>
      </c>
      <c r="R374" t="s">
        <v>26</v>
      </c>
      <c r="S374">
        <v>0</v>
      </c>
    </row>
    <row r="375" spans="1:19" x14ac:dyDescent="0.45">
      <c r="A375" t="s">
        <v>438</v>
      </c>
      <c r="B375" t="s">
        <v>48</v>
      </c>
      <c r="C375" t="s">
        <v>82</v>
      </c>
      <c r="D375" t="s">
        <v>56</v>
      </c>
      <c r="E375" s="1">
        <v>45414</v>
      </c>
      <c r="F375" s="1">
        <v>45415.708333333336</v>
      </c>
      <c r="G375">
        <v>41</v>
      </c>
      <c r="H375">
        <v>5.19</v>
      </c>
      <c r="I375">
        <v>7.37</v>
      </c>
      <c r="J375">
        <v>2.58</v>
      </c>
      <c r="K375">
        <v>0</v>
      </c>
      <c r="L375">
        <v>13.91</v>
      </c>
      <c r="M375" t="s">
        <v>75</v>
      </c>
      <c r="N375" t="s">
        <v>24</v>
      </c>
      <c r="O375">
        <v>41</v>
      </c>
      <c r="P375">
        <v>5</v>
      </c>
      <c r="Q375" t="s">
        <v>67</v>
      </c>
      <c r="R375" t="s">
        <v>46</v>
      </c>
      <c r="S375">
        <v>0</v>
      </c>
    </row>
    <row r="376" spans="1:19" x14ac:dyDescent="0.45">
      <c r="A376" t="s">
        <v>439</v>
      </c>
      <c r="B376" t="s">
        <v>28</v>
      </c>
      <c r="C376" t="s">
        <v>38</v>
      </c>
      <c r="D376" t="s">
        <v>56</v>
      </c>
      <c r="E376" s="1">
        <v>45500</v>
      </c>
      <c r="F376" s="1">
        <v>45502</v>
      </c>
      <c r="G376">
        <v>38</v>
      </c>
      <c r="H376">
        <v>5.1100000000000003</v>
      </c>
      <c r="I376">
        <v>7.75</v>
      </c>
      <c r="J376">
        <v>2.59</v>
      </c>
      <c r="K376">
        <v>0</v>
      </c>
      <c r="L376">
        <v>19.559999999999999</v>
      </c>
      <c r="M376" t="s">
        <v>44</v>
      </c>
      <c r="N376" t="s">
        <v>24</v>
      </c>
      <c r="O376">
        <v>38</v>
      </c>
      <c r="P376">
        <v>7</v>
      </c>
      <c r="Q376" t="s">
        <v>31</v>
      </c>
      <c r="R376" t="s">
        <v>32</v>
      </c>
      <c r="S376">
        <v>0</v>
      </c>
    </row>
    <row r="377" spans="1:19" x14ac:dyDescent="0.45">
      <c r="A377" t="s">
        <v>440</v>
      </c>
      <c r="B377" t="s">
        <v>20</v>
      </c>
      <c r="C377" t="s">
        <v>34</v>
      </c>
      <c r="D377" t="s">
        <v>29</v>
      </c>
      <c r="E377" s="1">
        <v>45480</v>
      </c>
      <c r="F377" s="1">
        <v>45482</v>
      </c>
      <c r="G377">
        <v>38</v>
      </c>
      <c r="H377">
        <v>5.49</v>
      </c>
      <c r="I377">
        <v>7.68</v>
      </c>
      <c r="J377">
        <v>2.73</v>
      </c>
      <c r="K377">
        <v>0</v>
      </c>
      <c r="L377">
        <v>63.54</v>
      </c>
      <c r="M377" t="s">
        <v>106</v>
      </c>
      <c r="N377" t="s">
        <v>24</v>
      </c>
      <c r="O377">
        <v>38</v>
      </c>
      <c r="P377">
        <v>7</v>
      </c>
      <c r="Q377" t="s">
        <v>31</v>
      </c>
      <c r="R377" t="s">
        <v>32</v>
      </c>
      <c r="S377">
        <v>0</v>
      </c>
    </row>
    <row r="378" spans="1:19" x14ac:dyDescent="0.45">
      <c r="A378" t="s">
        <v>441</v>
      </c>
      <c r="B378" t="s">
        <v>20</v>
      </c>
      <c r="C378" t="s">
        <v>38</v>
      </c>
      <c r="D378" t="s">
        <v>29</v>
      </c>
      <c r="E378" s="1">
        <v>45365</v>
      </c>
      <c r="F378" s="1">
        <v>45366</v>
      </c>
      <c r="G378">
        <v>37</v>
      </c>
      <c r="H378">
        <v>5.01</v>
      </c>
      <c r="I378">
        <v>7.7</v>
      </c>
      <c r="J378">
        <v>2.5</v>
      </c>
      <c r="K378">
        <v>0</v>
      </c>
      <c r="L378">
        <v>11.99</v>
      </c>
      <c r="M378" t="s">
        <v>57</v>
      </c>
      <c r="N378" t="s">
        <v>24</v>
      </c>
      <c r="O378">
        <v>37</v>
      </c>
      <c r="P378">
        <v>3</v>
      </c>
      <c r="Q378" t="s">
        <v>45</v>
      </c>
      <c r="R378" t="s">
        <v>46</v>
      </c>
      <c r="S378">
        <v>0</v>
      </c>
    </row>
    <row r="379" spans="1:19" x14ac:dyDescent="0.45">
      <c r="A379" t="s">
        <v>442</v>
      </c>
      <c r="B379" t="s">
        <v>37</v>
      </c>
      <c r="C379" t="s">
        <v>93</v>
      </c>
      <c r="D379" t="s">
        <v>29</v>
      </c>
      <c r="E379" s="1">
        <v>45367</v>
      </c>
      <c r="F379" s="1">
        <v>45369</v>
      </c>
      <c r="G379">
        <v>53</v>
      </c>
      <c r="H379">
        <v>5.19</v>
      </c>
      <c r="I379">
        <v>7.69</v>
      </c>
      <c r="J379">
        <v>2.6</v>
      </c>
      <c r="K379">
        <v>0</v>
      </c>
      <c r="L379">
        <v>9.5500000000000007</v>
      </c>
      <c r="M379" t="s">
        <v>30</v>
      </c>
      <c r="N379" t="s">
        <v>24</v>
      </c>
      <c r="O379">
        <v>53</v>
      </c>
      <c r="P379">
        <v>3</v>
      </c>
      <c r="Q379" t="s">
        <v>45</v>
      </c>
      <c r="R379" t="s">
        <v>46</v>
      </c>
      <c r="S379">
        <v>0</v>
      </c>
    </row>
    <row r="380" spans="1:19" x14ac:dyDescent="0.45">
      <c r="A380" t="s">
        <v>443</v>
      </c>
      <c r="B380" t="s">
        <v>37</v>
      </c>
      <c r="C380" t="s">
        <v>73</v>
      </c>
      <c r="D380" t="s">
        <v>56</v>
      </c>
      <c r="E380" s="1">
        <v>45477.666666666664</v>
      </c>
      <c r="F380" s="1">
        <v>45480.666666666664</v>
      </c>
      <c r="G380">
        <v>72</v>
      </c>
      <c r="H380">
        <v>5.15</v>
      </c>
      <c r="I380">
        <v>7.79</v>
      </c>
      <c r="J380">
        <v>2.5299999999999998</v>
      </c>
      <c r="K380">
        <v>0</v>
      </c>
      <c r="L380">
        <v>38.869999999999997</v>
      </c>
      <c r="M380" t="s">
        <v>57</v>
      </c>
      <c r="N380" t="s">
        <v>24</v>
      </c>
      <c r="O380">
        <v>72</v>
      </c>
      <c r="P380">
        <v>7</v>
      </c>
      <c r="Q380" t="s">
        <v>31</v>
      </c>
      <c r="R380" t="s">
        <v>32</v>
      </c>
      <c r="S380">
        <v>0</v>
      </c>
    </row>
    <row r="381" spans="1:19" x14ac:dyDescent="0.45">
      <c r="A381" t="s">
        <v>444</v>
      </c>
      <c r="B381" t="s">
        <v>48</v>
      </c>
      <c r="C381" t="s">
        <v>42</v>
      </c>
      <c r="D381" t="s">
        <v>50</v>
      </c>
      <c r="E381" s="1">
        <v>45327.458333333336</v>
      </c>
      <c r="F381" s="1">
        <v>45328.291666666664</v>
      </c>
      <c r="G381">
        <v>20</v>
      </c>
      <c r="H381">
        <v>4.93</v>
      </c>
      <c r="I381">
        <v>6.59</v>
      </c>
      <c r="J381">
        <v>3.21</v>
      </c>
      <c r="K381">
        <v>0</v>
      </c>
      <c r="L381">
        <v>78.17</v>
      </c>
      <c r="M381" t="s">
        <v>35</v>
      </c>
      <c r="N381" t="s">
        <v>24</v>
      </c>
      <c r="O381">
        <v>20</v>
      </c>
      <c r="P381">
        <v>2</v>
      </c>
      <c r="Q381" t="s">
        <v>65</v>
      </c>
      <c r="R381" t="s">
        <v>26</v>
      </c>
      <c r="S381">
        <v>0</v>
      </c>
    </row>
    <row r="382" spans="1:19" x14ac:dyDescent="0.45">
      <c r="A382" t="s">
        <v>445</v>
      </c>
      <c r="B382" t="s">
        <v>48</v>
      </c>
      <c r="C382" t="s">
        <v>42</v>
      </c>
      <c r="D382" t="s">
        <v>56</v>
      </c>
      <c r="E382" s="1">
        <v>45506.958333333336</v>
      </c>
      <c r="F382" s="1">
        <v>45510</v>
      </c>
      <c r="G382">
        <v>73</v>
      </c>
      <c r="H382">
        <v>5.41</v>
      </c>
      <c r="I382">
        <v>7.73</v>
      </c>
      <c r="J382">
        <v>2.5299999999999998</v>
      </c>
      <c r="K382">
        <v>0</v>
      </c>
      <c r="L382">
        <v>78.48</v>
      </c>
      <c r="M382" t="s">
        <v>23</v>
      </c>
      <c r="N382" t="s">
        <v>24</v>
      </c>
      <c r="O382">
        <v>73</v>
      </c>
      <c r="P382">
        <v>8</v>
      </c>
      <c r="Q382" t="s">
        <v>58</v>
      </c>
      <c r="R382" t="s">
        <v>32</v>
      </c>
      <c r="S382">
        <v>0</v>
      </c>
    </row>
    <row r="383" spans="1:19" x14ac:dyDescent="0.45">
      <c r="A383" t="s">
        <v>446</v>
      </c>
      <c r="B383" t="s">
        <v>52</v>
      </c>
      <c r="C383" t="s">
        <v>82</v>
      </c>
      <c r="D383" t="s">
        <v>29</v>
      </c>
      <c r="E383" s="1">
        <v>45497.333333333336</v>
      </c>
      <c r="F383" s="1">
        <v>45500.375</v>
      </c>
      <c r="G383">
        <v>73</v>
      </c>
      <c r="H383">
        <v>5.09</v>
      </c>
      <c r="I383">
        <v>8.4</v>
      </c>
      <c r="J383">
        <v>2.52</v>
      </c>
      <c r="K383">
        <v>1</v>
      </c>
      <c r="L383">
        <v>77.95</v>
      </c>
      <c r="M383" t="s">
        <v>79</v>
      </c>
      <c r="N383" t="s">
        <v>109</v>
      </c>
      <c r="O383">
        <v>73</v>
      </c>
      <c r="P383">
        <v>7</v>
      </c>
      <c r="Q383" t="s">
        <v>31</v>
      </c>
      <c r="R383" t="s">
        <v>32</v>
      </c>
      <c r="S383">
        <v>0</v>
      </c>
    </row>
    <row r="384" spans="1:19" x14ac:dyDescent="0.45">
      <c r="A384" t="s">
        <v>447</v>
      </c>
      <c r="B384" t="s">
        <v>37</v>
      </c>
      <c r="C384" t="s">
        <v>34</v>
      </c>
      <c r="D384" t="s">
        <v>78</v>
      </c>
      <c r="E384" s="1">
        <v>45399</v>
      </c>
      <c r="F384" s="1">
        <v>45402</v>
      </c>
      <c r="G384">
        <v>76</v>
      </c>
      <c r="H384">
        <v>5.54</v>
      </c>
      <c r="I384">
        <v>12.31</v>
      </c>
      <c r="J384">
        <v>2.54</v>
      </c>
      <c r="K384">
        <v>8</v>
      </c>
      <c r="L384">
        <v>75.36</v>
      </c>
      <c r="M384" t="s">
        <v>30</v>
      </c>
      <c r="N384" t="s">
        <v>39</v>
      </c>
      <c r="O384">
        <v>76</v>
      </c>
      <c r="P384">
        <v>4</v>
      </c>
      <c r="Q384" t="s">
        <v>69</v>
      </c>
      <c r="R384" t="s">
        <v>46</v>
      </c>
      <c r="S384">
        <v>75.36</v>
      </c>
    </row>
    <row r="385" spans="1:19" x14ac:dyDescent="0.45">
      <c r="A385" t="s">
        <v>448</v>
      </c>
      <c r="B385" t="s">
        <v>52</v>
      </c>
      <c r="C385" t="s">
        <v>34</v>
      </c>
      <c r="D385" t="s">
        <v>29</v>
      </c>
      <c r="E385" s="1">
        <v>45411.958333333336</v>
      </c>
      <c r="F385" s="1">
        <v>45413</v>
      </c>
      <c r="G385">
        <v>25</v>
      </c>
      <c r="H385">
        <v>5.62</v>
      </c>
      <c r="I385">
        <v>7.63</v>
      </c>
      <c r="J385">
        <v>2.61</v>
      </c>
      <c r="K385">
        <v>0</v>
      </c>
      <c r="L385">
        <v>46.07</v>
      </c>
      <c r="M385" t="s">
        <v>44</v>
      </c>
      <c r="N385" t="s">
        <v>24</v>
      </c>
      <c r="O385">
        <v>25</v>
      </c>
      <c r="P385">
        <v>4</v>
      </c>
      <c r="Q385" t="s">
        <v>69</v>
      </c>
      <c r="R385" t="s">
        <v>46</v>
      </c>
      <c r="S385">
        <v>0</v>
      </c>
    </row>
    <row r="386" spans="1:19" x14ac:dyDescent="0.45">
      <c r="A386" t="s">
        <v>449</v>
      </c>
      <c r="B386" t="s">
        <v>28</v>
      </c>
      <c r="C386" t="s">
        <v>82</v>
      </c>
      <c r="D386" t="s">
        <v>43</v>
      </c>
      <c r="E386" s="1">
        <v>45498</v>
      </c>
      <c r="F386" s="1">
        <v>45500</v>
      </c>
      <c r="G386">
        <v>67</v>
      </c>
      <c r="H386">
        <v>5</v>
      </c>
      <c r="I386">
        <v>7.68</v>
      </c>
      <c r="J386">
        <v>2.5099999999999998</v>
      </c>
      <c r="K386">
        <v>0</v>
      </c>
      <c r="L386">
        <v>50.53</v>
      </c>
      <c r="M386" t="s">
        <v>57</v>
      </c>
      <c r="N386" t="s">
        <v>24</v>
      </c>
      <c r="O386">
        <v>67</v>
      </c>
      <c r="P386">
        <v>7</v>
      </c>
      <c r="Q386" t="s">
        <v>31</v>
      </c>
      <c r="R386" t="s">
        <v>32</v>
      </c>
      <c r="S386">
        <v>0</v>
      </c>
    </row>
    <row r="387" spans="1:19" x14ac:dyDescent="0.45">
      <c r="A387" t="s">
        <v>450</v>
      </c>
      <c r="B387" t="s">
        <v>20</v>
      </c>
      <c r="C387" t="s">
        <v>34</v>
      </c>
      <c r="D387" t="s">
        <v>78</v>
      </c>
      <c r="E387" s="1">
        <v>45398</v>
      </c>
      <c r="F387" s="1">
        <v>45399</v>
      </c>
      <c r="G387">
        <v>35</v>
      </c>
      <c r="H387">
        <v>4.9000000000000004</v>
      </c>
      <c r="I387">
        <v>7.6</v>
      </c>
      <c r="J387">
        <v>2.5299999999999998</v>
      </c>
      <c r="K387">
        <v>0</v>
      </c>
      <c r="L387">
        <v>5.54</v>
      </c>
      <c r="M387" t="s">
        <v>79</v>
      </c>
      <c r="N387" t="s">
        <v>24</v>
      </c>
      <c r="O387">
        <v>35</v>
      </c>
      <c r="P387">
        <v>4</v>
      </c>
      <c r="Q387" t="s">
        <v>69</v>
      </c>
      <c r="R387" t="s">
        <v>46</v>
      </c>
      <c r="S387">
        <v>0</v>
      </c>
    </row>
    <row r="388" spans="1:19" x14ac:dyDescent="0.45">
      <c r="A388" t="s">
        <v>451</v>
      </c>
      <c r="B388" t="s">
        <v>28</v>
      </c>
      <c r="C388" t="s">
        <v>82</v>
      </c>
      <c r="D388" t="s">
        <v>78</v>
      </c>
      <c r="E388" s="1">
        <v>45455</v>
      </c>
      <c r="F388" s="1">
        <v>45458</v>
      </c>
      <c r="G388">
        <v>58</v>
      </c>
      <c r="H388">
        <v>5.64</v>
      </c>
      <c r="I388">
        <v>7.76</v>
      </c>
      <c r="J388">
        <v>2.59</v>
      </c>
      <c r="K388">
        <v>0</v>
      </c>
      <c r="L388">
        <v>57.36</v>
      </c>
      <c r="M388" t="s">
        <v>44</v>
      </c>
      <c r="N388" t="s">
        <v>24</v>
      </c>
      <c r="O388">
        <v>58</v>
      </c>
      <c r="P388">
        <v>6</v>
      </c>
      <c r="Q388" t="s">
        <v>40</v>
      </c>
      <c r="R388" t="s">
        <v>32</v>
      </c>
      <c r="S388">
        <v>0</v>
      </c>
    </row>
    <row r="389" spans="1:19" x14ac:dyDescent="0.45">
      <c r="A389" t="s">
        <v>452</v>
      </c>
      <c r="B389" t="s">
        <v>48</v>
      </c>
      <c r="C389" t="s">
        <v>21</v>
      </c>
      <c r="D389" t="s">
        <v>56</v>
      </c>
      <c r="E389" s="1">
        <v>45449.75</v>
      </c>
      <c r="F389" s="1">
        <v>45452.208333333336</v>
      </c>
      <c r="G389">
        <v>59</v>
      </c>
      <c r="H389">
        <v>5.19</v>
      </c>
      <c r="I389">
        <v>9.34</v>
      </c>
      <c r="J389">
        <v>2.71</v>
      </c>
      <c r="K389">
        <v>4</v>
      </c>
      <c r="L389">
        <v>69.64</v>
      </c>
      <c r="M389" t="s">
        <v>44</v>
      </c>
      <c r="N389" t="s">
        <v>109</v>
      </c>
      <c r="O389">
        <v>59</v>
      </c>
      <c r="P389">
        <v>6</v>
      </c>
      <c r="Q389" t="s">
        <v>40</v>
      </c>
      <c r="R389" t="s">
        <v>32</v>
      </c>
      <c r="S389">
        <v>0</v>
      </c>
    </row>
    <row r="390" spans="1:19" x14ac:dyDescent="0.45">
      <c r="A390" t="s">
        <v>453</v>
      </c>
      <c r="B390" t="s">
        <v>20</v>
      </c>
      <c r="C390" t="s">
        <v>53</v>
      </c>
      <c r="D390" t="s">
        <v>22</v>
      </c>
      <c r="E390" s="1">
        <v>45496</v>
      </c>
      <c r="F390" s="1">
        <v>45499</v>
      </c>
      <c r="G390">
        <v>89</v>
      </c>
      <c r="H390">
        <v>5.38</v>
      </c>
      <c r="I390">
        <v>7.78</v>
      </c>
      <c r="J390">
        <v>2.5</v>
      </c>
      <c r="K390">
        <v>0</v>
      </c>
      <c r="L390">
        <v>6.34</v>
      </c>
      <c r="M390" t="s">
        <v>35</v>
      </c>
      <c r="N390" t="s">
        <v>24</v>
      </c>
      <c r="O390">
        <v>89</v>
      </c>
      <c r="P390">
        <v>7</v>
      </c>
      <c r="Q390" t="s">
        <v>31</v>
      </c>
      <c r="R390" t="s">
        <v>32</v>
      </c>
      <c r="S390">
        <v>0</v>
      </c>
    </row>
    <row r="391" spans="1:19" x14ac:dyDescent="0.45">
      <c r="A391" t="s">
        <v>454</v>
      </c>
      <c r="B391" t="s">
        <v>28</v>
      </c>
      <c r="C391" t="s">
        <v>34</v>
      </c>
      <c r="D391" t="s">
        <v>78</v>
      </c>
      <c r="E391" s="1">
        <v>45342</v>
      </c>
      <c r="F391" s="1">
        <v>45346</v>
      </c>
      <c r="G391">
        <v>86</v>
      </c>
      <c r="H391">
        <v>5.37</v>
      </c>
      <c r="I391">
        <v>7.75</v>
      </c>
      <c r="J391">
        <v>2.72</v>
      </c>
      <c r="K391">
        <v>0</v>
      </c>
      <c r="L391">
        <v>50.42</v>
      </c>
      <c r="M391" t="s">
        <v>79</v>
      </c>
      <c r="N391" t="s">
        <v>24</v>
      </c>
      <c r="O391">
        <v>86</v>
      </c>
      <c r="P391">
        <v>2</v>
      </c>
      <c r="Q391" t="s">
        <v>65</v>
      </c>
      <c r="R391" t="s">
        <v>26</v>
      </c>
      <c r="S391">
        <v>0</v>
      </c>
    </row>
    <row r="392" spans="1:19" x14ac:dyDescent="0.45">
      <c r="A392" t="s">
        <v>455</v>
      </c>
      <c r="B392" t="s">
        <v>20</v>
      </c>
      <c r="C392" t="s">
        <v>21</v>
      </c>
      <c r="D392" t="s">
        <v>29</v>
      </c>
      <c r="E392" s="1">
        <v>45557.083333333336</v>
      </c>
      <c r="F392" s="1">
        <v>45560.5</v>
      </c>
      <c r="G392">
        <v>82</v>
      </c>
      <c r="H392">
        <v>5.19</v>
      </c>
      <c r="I392">
        <v>7.74</v>
      </c>
      <c r="J392">
        <v>2.56</v>
      </c>
      <c r="K392">
        <v>0</v>
      </c>
      <c r="L392">
        <v>40.58</v>
      </c>
      <c r="M392" t="s">
        <v>35</v>
      </c>
      <c r="N392" t="s">
        <v>24</v>
      </c>
      <c r="O392">
        <v>82</v>
      </c>
      <c r="P392">
        <v>9</v>
      </c>
      <c r="Q392" t="s">
        <v>76</v>
      </c>
      <c r="R392" t="s">
        <v>32</v>
      </c>
      <c r="S392">
        <v>0</v>
      </c>
    </row>
    <row r="393" spans="1:19" x14ac:dyDescent="0.45">
      <c r="A393" t="s">
        <v>456</v>
      </c>
      <c r="B393" t="s">
        <v>20</v>
      </c>
      <c r="C393" t="s">
        <v>82</v>
      </c>
      <c r="D393" t="s">
        <v>29</v>
      </c>
      <c r="E393" s="1">
        <v>45342.833333333336</v>
      </c>
      <c r="F393" s="1">
        <v>45345.75</v>
      </c>
      <c r="G393">
        <v>70</v>
      </c>
      <c r="H393">
        <v>5.13</v>
      </c>
      <c r="I393">
        <v>7.59</v>
      </c>
      <c r="J393">
        <v>2.5099999999999998</v>
      </c>
      <c r="K393">
        <v>0</v>
      </c>
      <c r="L393">
        <v>55.02</v>
      </c>
      <c r="M393" t="s">
        <v>30</v>
      </c>
      <c r="N393" t="s">
        <v>24</v>
      </c>
      <c r="O393">
        <v>70</v>
      </c>
      <c r="P393">
        <v>2</v>
      </c>
      <c r="Q393" t="s">
        <v>65</v>
      </c>
      <c r="R393" t="s">
        <v>26</v>
      </c>
      <c r="S393">
        <v>0</v>
      </c>
    </row>
    <row r="394" spans="1:19" x14ac:dyDescent="0.45">
      <c r="A394" t="s">
        <v>457</v>
      </c>
      <c r="B394" t="s">
        <v>37</v>
      </c>
      <c r="C394" t="s">
        <v>93</v>
      </c>
      <c r="D394" t="s">
        <v>22</v>
      </c>
      <c r="E394" s="1">
        <v>45601</v>
      </c>
      <c r="F394" s="1">
        <v>45604</v>
      </c>
      <c r="G394">
        <v>75</v>
      </c>
      <c r="H394">
        <v>5.27</v>
      </c>
      <c r="I394">
        <v>7.78</v>
      </c>
      <c r="J394">
        <v>2.63</v>
      </c>
      <c r="K394">
        <v>0</v>
      </c>
      <c r="L394">
        <v>47.04</v>
      </c>
      <c r="M394" t="s">
        <v>75</v>
      </c>
      <c r="N394" t="s">
        <v>24</v>
      </c>
      <c r="O394">
        <v>75</v>
      </c>
      <c r="P394">
        <v>11</v>
      </c>
      <c r="Q394" t="s">
        <v>89</v>
      </c>
      <c r="R394" t="s">
        <v>62</v>
      </c>
      <c r="S394">
        <v>0</v>
      </c>
    </row>
    <row r="395" spans="1:19" x14ac:dyDescent="0.45">
      <c r="A395" t="s">
        <v>458</v>
      </c>
      <c r="B395" t="s">
        <v>28</v>
      </c>
      <c r="C395" t="s">
        <v>82</v>
      </c>
      <c r="D395" t="s">
        <v>78</v>
      </c>
      <c r="E395" s="1">
        <v>45467</v>
      </c>
      <c r="F395" s="1">
        <v>45470</v>
      </c>
      <c r="G395">
        <v>85</v>
      </c>
      <c r="H395">
        <v>5.19</v>
      </c>
      <c r="I395">
        <v>7.72</v>
      </c>
      <c r="J395">
        <v>2.69</v>
      </c>
      <c r="K395">
        <v>0</v>
      </c>
      <c r="L395">
        <v>46.71</v>
      </c>
      <c r="M395" t="s">
        <v>57</v>
      </c>
      <c r="N395" t="s">
        <v>24</v>
      </c>
      <c r="O395">
        <v>85</v>
      </c>
      <c r="P395">
        <v>6</v>
      </c>
      <c r="Q395" t="s">
        <v>40</v>
      </c>
      <c r="R395" t="s">
        <v>32</v>
      </c>
      <c r="S395">
        <v>0</v>
      </c>
    </row>
    <row r="396" spans="1:19" x14ac:dyDescent="0.45">
      <c r="A396" t="s">
        <v>459</v>
      </c>
      <c r="B396" t="s">
        <v>48</v>
      </c>
      <c r="C396" t="s">
        <v>82</v>
      </c>
      <c r="D396" t="s">
        <v>22</v>
      </c>
      <c r="E396" s="1">
        <v>45432.541666666664</v>
      </c>
      <c r="F396" s="1">
        <v>45436.083333333336</v>
      </c>
      <c r="G396">
        <v>85</v>
      </c>
      <c r="H396">
        <v>5.28</v>
      </c>
      <c r="I396">
        <v>7.77</v>
      </c>
      <c r="J396">
        <v>2.61</v>
      </c>
      <c r="K396">
        <v>0</v>
      </c>
      <c r="L396">
        <v>31.13</v>
      </c>
      <c r="M396" t="s">
        <v>106</v>
      </c>
      <c r="N396" t="s">
        <v>24</v>
      </c>
      <c r="O396">
        <v>85</v>
      </c>
      <c r="P396">
        <v>5</v>
      </c>
      <c r="Q396" t="s">
        <v>67</v>
      </c>
      <c r="R396" t="s">
        <v>46</v>
      </c>
      <c r="S396">
        <v>0</v>
      </c>
    </row>
    <row r="397" spans="1:19" x14ac:dyDescent="0.45">
      <c r="A397" t="s">
        <v>460</v>
      </c>
      <c r="B397" t="s">
        <v>20</v>
      </c>
      <c r="C397" t="s">
        <v>93</v>
      </c>
      <c r="D397" t="s">
        <v>78</v>
      </c>
      <c r="E397" s="1">
        <v>45426.25</v>
      </c>
      <c r="F397" s="1">
        <v>45426.916666666664</v>
      </c>
      <c r="G397">
        <v>16</v>
      </c>
      <c r="H397">
        <v>4.42</v>
      </c>
      <c r="I397">
        <v>6.92</v>
      </c>
      <c r="J397">
        <v>2.56</v>
      </c>
      <c r="K397">
        <v>0</v>
      </c>
      <c r="L397">
        <v>27.66</v>
      </c>
      <c r="M397" t="s">
        <v>106</v>
      </c>
      <c r="N397" t="s">
        <v>24</v>
      </c>
      <c r="O397">
        <v>16</v>
      </c>
      <c r="P397">
        <v>5</v>
      </c>
      <c r="Q397" t="s">
        <v>67</v>
      </c>
      <c r="R397" t="s">
        <v>46</v>
      </c>
      <c r="S397">
        <v>0</v>
      </c>
    </row>
    <row r="398" spans="1:19" x14ac:dyDescent="0.45">
      <c r="A398" t="s">
        <v>461</v>
      </c>
      <c r="B398" t="s">
        <v>28</v>
      </c>
      <c r="C398" t="s">
        <v>34</v>
      </c>
      <c r="D398" t="s">
        <v>22</v>
      </c>
      <c r="E398" s="1">
        <v>45498.666666666664</v>
      </c>
      <c r="F398" s="1">
        <v>45500.708333333336</v>
      </c>
      <c r="G398">
        <v>49</v>
      </c>
      <c r="H398">
        <v>5.41</v>
      </c>
      <c r="I398">
        <v>7.8</v>
      </c>
      <c r="J398">
        <v>2.76</v>
      </c>
      <c r="K398">
        <v>0</v>
      </c>
      <c r="L398">
        <v>55.02</v>
      </c>
      <c r="M398" t="s">
        <v>30</v>
      </c>
      <c r="N398" t="s">
        <v>24</v>
      </c>
      <c r="O398">
        <v>49</v>
      </c>
      <c r="P398">
        <v>7</v>
      </c>
      <c r="Q398" t="s">
        <v>31</v>
      </c>
      <c r="R398" t="s">
        <v>32</v>
      </c>
      <c r="S398">
        <v>0</v>
      </c>
    </row>
    <row r="399" spans="1:19" x14ac:dyDescent="0.45">
      <c r="A399" t="s">
        <v>462</v>
      </c>
      <c r="B399" t="s">
        <v>37</v>
      </c>
      <c r="C399" t="s">
        <v>38</v>
      </c>
      <c r="D399" t="s">
        <v>78</v>
      </c>
      <c r="E399" s="1">
        <v>45335</v>
      </c>
      <c r="F399" s="1">
        <v>45337</v>
      </c>
      <c r="G399">
        <v>53</v>
      </c>
      <c r="H399">
        <v>5.55</v>
      </c>
      <c r="I399">
        <v>7.6</v>
      </c>
      <c r="J399">
        <v>3</v>
      </c>
      <c r="K399">
        <v>0</v>
      </c>
      <c r="L399">
        <v>59.2</v>
      </c>
      <c r="M399" t="s">
        <v>35</v>
      </c>
      <c r="N399" t="s">
        <v>24</v>
      </c>
      <c r="O399">
        <v>53</v>
      </c>
      <c r="P399">
        <v>2</v>
      </c>
      <c r="Q399" t="s">
        <v>65</v>
      </c>
      <c r="R399" t="s">
        <v>26</v>
      </c>
      <c r="S399">
        <v>0</v>
      </c>
    </row>
    <row r="400" spans="1:19" x14ac:dyDescent="0.45">
      <c r="A400" t="s">
        <v>463</v>
      </c>
      <c r="B400" t="s">
        <v>52</v>
      </c>
      <c r="C400" t="s">
        <v>34</v>
      </c>
      <c r="D400" t="s">
        <v>22</v>
      </c>
      <c r="E400" s="1">
        <v>45593</v>
      </c>
      <c r="F400" s="1">
        <v>45597</v>
      </c>
      <c r="G400">
        <v>93</v>
      </c>
      <c r="H400">
        <v>5.27</v>
      </c>
      <c r="I400">
        <v>7.77</v>
      </c>
      <c r="J400">
        <v>2.5</v>
      </c>
      <c r="K400">
        <v>0</v>
      </c>
      <c r="L400">
        <v>49.24</v>
      </c>
      <c r="M400" t="s">
        <v>106</v>
      </c>
      <c r="N400" t="s">
        <v>24</v>
      </c>
      <c r="O400">
        <v>93</v>
      </c>
      <c r="P400">
        <v>10</v>
      </c>
      <c r="Q400" t="s">
        <v>61</v>
      </c>
      <c r="R400" t="s">
        <v>62</v>
      </c>
      <c r="S400">
        <v>0</v>
      </c>
    </row>
    <row r="401" spans="1:19" x14ac:dyDescent="0.45">
      <c r="A401" t="s">
        <v>464</v>
      </c>
      <c r="B401" t="s">
        <v>37</v>
      </c>
      <c r="C401" t="s">
        <v>34</v>
      </c>
      <c r="D401" t="s">
        <v>56</v>
      </c>
      <c r="E401" s="1">
        <v>45327.291666666664</v>
      </c>
      <c r="F401" s="1">
        <v>45330.041666666664</v>
      </c>
      <c r="G401">
        <v>66</v>
      </c>
      <c r="H401">
        <v>5.12</v>
      </c>
      <c r="I401">
        <v>7.61</v>
      </c>
      <c r="J401">
        <v>2.57</v>
      </c>
      <c r="K401">
        <v>0</v>
      </c>
      <c r="L401">
        <v>17.46</v>
      </c>
      <c r="M401" t="s">
        <v>79</v>
      </c>
      <c r="N401" t="s">
        <v>24</v>
      </c>
      <c r="O401">
        <v>66</v>
      </c>
      <c r="P401">
        <v>2</v>
      </c>
      <c r="Q401" t="s">
        <v>65</v>
      </c>
      <c r="R401" t="s">
        <v>26</v>
      </c>
      <c r="S401">
        <v>0</v>
      </c>
    </row>
    <row r="402" spans="1:19" x14ac:dyDescent="0.45">
      <c r="A402" t="s">
        <v>465</v>
      </c>
      <c r="B402" t="s">
        <v>48</v>
      </c>
      <c r="C402" t="s">
        <v>73</v>
      </c>
      <c r="D402" t="s">
        <v>56</v>
      </c>
      <c r="E402" s="1">
        <v>45327</v>
      </c>
      <c r="F402" s="1">
        <v>45331</v>
      </c>
      <c r="G402">
        <v>84</v>
      </c>
      <c r="H402">
        <v>5.12</v>
      </c>
      <c r="I402">
        <v>7.78</v>
      </c>
      <c r="J402">
        <v>2.5299999999999998</v>
      </c>
      <c r="K402">
        <v>0</v>
      </c>
      <c r="L402">
        <v>5.64</v>
      </c>
      <c r="M402" t="s">
        <v>79</v>
      </c>
      <c r="N402" t="s">
        <v>24</v>
      </c>
      <c r="O402">
        <v>84</v>
      </c>
      <c r="P402">
        <v>2</v>
      </c>
      <c r="Q402" t="s">
        <v>65</v>
      </c>
      <c r="R402" t="s">
        <v>26</v>
      </c>
      <c r="S402">
        <v>0</v>
      </c>
    </row>
    <row r="403" spans="1:19" x14ac:dyDescent="0.45">
      <c r="A403" t="s">
        <v>466</v>
      </c>
      <c r="B403" t="s">
        <v>20</v>
      </c>
      <c r="C403" t="s">
        <v>82</v>
      </c>
      <c r="D403" t="s">
        <v>56</v>
      </c>
      <c r="E403" s="1">
        <v>45451</v>
      </c>
      <c r="F403" s="1">
        <v>45454</v>
      </c>
      <c r="G403">
        <v>72</v>
      </c>
      <c r="H403">
        <v>5.23</v>
      </c>
      <c r="I403">
        <v>7.65</v>
      </c>
      <c r="J403">
        <v>2.72</v>
      </c>
      <c r="K403">
        <v>0</v>
      </c>
      <c r="L403">
        <v>72.47</v>
      </c>
      <c r="M403" t="s">
        <v>57</v>
      </c>
      <c r="N403" t="s">
        <v>24</v>
      </c>
      <c r="O403">
        <v>72</v>
      </c>
      <c r="P403">
        <v>6</v>
      </c>
      <c r="Q403" t="s">
        <v>40</v>
      </c>
      <c r="R403" t="s">
        <v>32</v>
      </c>
      <c r="S403">
        <v>0</v>
      </c>
    </row>
    <row r="404" spans="1:19" x14ac:dyDescent="0.45">
      <c r="A404" t="s">
        <v>467</v>
      </c>
      <c r="B404" t="s">
        <v>37</v>
      </c>
      <c r="C404" t="s">
        <v>34</v>
      </c>
      <c r="D404" t="s">
        <v>78</v>
      </c>
      <c r="E404" s="1">
        <v>45315.833333333336</v>
      </c>
      <c r="F404" s="1">
        <v>45319.375</v>
      </c>
      <c r="G404">
        <v>85</v>
      </c>
      <c r="H404">
        <v>6.32</v>
      </c>
      <c r="I404">
        <v>12.44</v>
      </c>
      <c r="J404">
        <v>2.62</v>
      </c>
      <c r="K404">
        <v>14</v>
      </c>
      <c r="L404">
        <v>24.85</v>
      </c>
      <c r="M404" t="s">
        <v>30</v>
      </c>
      <c r="N404" t="s">
        <v>39</v>
      </c>
      <c r="O404">
        <v>85</v>
      </c>
      <c r="P404">
        <v>1</v>
      </c>
      <c r="Q404" t="s">
        <v>25</v>
      </c>
      <c r="R404" t="s">
        <v>26</v>
      </c>
      <c r="S404">
        <v>24.85</v>
      </c>
    </row>
    <row r="405" spans="1:19" x14ac:dyDescent="0.45">
      <c r="A405" t="s">
        <v>468</v>
      </c>
      <c r="B405" t="s">
        <v>20</v>
      </c>
      <c r="C405" t="s">
        <v>73</v>
      </c>
      <c r="D405" t="s">
        <v>56</v>
      </c>
      <c r="E405" s="1">
        <v>45493.916666666664</v>
      </c>
      <c r="F405" s="1">
        <v>45494.625</v>
      </c>
      <c r="G405">
        <v>17</v>
      </c>
      <c r="H405">
        <v>4.63</v>
      </c>
      <c r="I405">
        <v>7.36</v>
      </c>
      <c r="J405">
        <v>2.91</v>
      </c>
      <c r="K405">
        <v>0</v>
      </c>
      <c r="L405">
        <v>22.98</v>
      </c>
      <c r="M405" t="s">
        <v>23</v>
      </c>
      <c r="N405" t="s">
        <v>24</v>
      </c>
      <c r="O405">
        <v>17</v>
      </c>
      <c r="P405">
        <v>7</v>
      </c>
      <c r="Q405" t="s">
        <v>31</v>
      </c>
      <c r="R405" t="s">
        <v>32</v>
      </c>
      <c r="S405">
        <v>0</v>
      </c>
    </row>
    <row r="406" spans="1:19" x14ac:dyDescent="0.45">
      <c r="A406" t="s">
        <v>469</v>
      </c>
      <c r="B406" t="s">
        <v>37</v>
      </c>
      <c r="C406" t="s">
        <v>38</v>
      </c>
      <c r="D406" t="s">
        <v>50</v>
      </c>
      <c r="E406" s="1">
        <v>45456</v>
      </c>
      <c r="F406" s="1">
        <v>45458</v>
      </c>
      <c r="G406">
        <v>32</v>
      </c>
      <c r="H406">
        <v>7.59</v>
      </c>
      <c r="I406">
        <v>11.87</v>
      </c>
      <c r="J406">
        <v>2.79</v>
      </c>
      <c r="K406">
        <v>13</v>
      </c>
      <c r="L406">
        <v>10.79</v>
      </c>
      <c r="M406" t="s">
        <v>30</v>
      </c>
      <c r="N406" t="s">
        <v>39</v>
      </c>
      <c r="O406">
        <v>32</v>
      </c>
      <c r="P406">
        <v>6</v>
      </c>
      <c r="Q406" t="s">
        <v>40</v>
      </c>
      <c r="R406" t="s">
        <v>32</v>
      </c>
      <c r="S406">
        <v>10.79</v>
      </c>
    </row>
    <row r="407" spans="1:19" x14ac:dyDescent="0.45">
      <c r="A407" t="s">
        <v>470</v>
      </c>
      <c r="B407" t="s">
        <v>52</v>
      </c>
      <c r="C407" t="s">
        <v>42</v>
      </c>
      <c r="D407" t="s">
        <v>78</v>
      </c>
      <c r="E407" s="1">
        <v>45576.5</v>
      </c>
      <c r="F407" s="1">
        <v>45579.916666666664</v>
      </c>
      <c r="G407">
        <v>82</v>
      </c>
      <c r="H407">
        <v>5.55</v>
      </c>
      <c r="I407">
        <v>12.24</v>
      </c>
      <c r="J407">
        <v>2.52</v>
      </c>
      <c r="K407">
        <v>5</v>
      </c>
      <c r="L407">
        <v>29.46</v>
      </c>
      <c r="M407" t="s">
        <v>75</v>
      </c>
      <c r="N407" t="s">
        <v>39</v>
      </c>
      <c r="O407">
        <v>82</v>
      </c>
      <c r="P407">
        <v>10</v>
      </c>
      <c r="Q407" t="s">
        <v>61</v>
      </c>
      <c r="R407" t="s">
        <v>62</v>
      </c>
      <c r="S407">
        <v>29.46</v>
      </c>
    </row>
    <row r="408" spans="1:19" x14ac:dyDescent="0.45">
      <c r="A408" t="s">
        <v>471</v>
      </c>
      <c r="B408" t="s">
        <v>48</v>
      </c>
      <c r="C408" t="s">
        <v>21</v>
      </c>
      <c r="D408" t="s">
        <v>56</v>
      </c>
      <c r="E408" s="1">
        <v>45614</v>
      </c>
      <c r="F408" s="1">
        <v>45616</v>
      </c>
      <c r="G408">
        <v>46</v>
      </c>
      <c r="H408">
        <v>5.18</v>
      </c>
      <c r="I408">
        <v>7.77</v>
      </c>
      <c r="J408">
        <v>2.52</v>
      </c>
      <c r="K408">
        <v>0</v>
      </c>
      <c r="L408">
        <v>44.73</v>
      </c>
      <c r="M408" t="s">
        <v>57</v>
      </c>
      <c r="N408" t="s">
        <v>24</v>
      </c>
      <c r="O408">
        <v>46</v>
      </c>
      <c r="P408">
        <v>11</v>
      </c>
      <c r="Q408" t="s">
        <v>89</v>
      </c>
      <c r="R408" t="s">
        <v>62</v>
      </c>
      <c r="S408">
        <v>0</v>
      </c>
    </row>
    <row r="409" spans="1:19" x14ac:dyDescent="0.45">
      <c r="A409" t="s">
        <v>472</v>
      </c>
      <c r="B409" t="s">
        <v>48</v>
      </c>
      <c r="C409" t="s">
        <v>42</v>
      </c>
      <c r="D409" t="s">
        <v>43</v>
      </c>
      <c r="E409" s="1">
        <v>45449</v>
      </c>
      <c r="F409" s="1">
        <v>45452</v>
      </c>
      <c r="G409">
        <v>65</v>
      </c>
      <c r="H409">
        <v>5.04</v>
      </c>
      <c r="I409">
        <v>7.67</v>
      </c>
      <c r="J409">
        <v>2.6</v>
      </c>
      <c r="K409">
        <v>0</v>
      </c>
      <c r="L409">
        <v>51.92</v>
      </c>
      <c r="M409" t="s">
        <v>30</v>
      </c>
      <c r="N409" t="s">
        <v>24</v>
      </c>
      <c r="O409">
        <v>65</v>
      </c>
      <c r="P409">
        <v>6</v>
      </c>
      <c r="Q409" t="s">
        <v>40</v>
      </c>
      <c r="R409" t="s">
        <v>32</v>
      </c>
      <c r="S409">
        <v>0</v>
      </c>
    </row>
    <row r="410" spans="1:19" x14ac:dyDescent="0.45">
      <c r="A410" t="s">
        <v>473</v>
      </c>
      <c r="B410" t="s">
        <v>48</v>
      </c>
      <c r="C410" t="s">
        <v>42</v>
      </c>
      <c r="D410" t="s">
        <v>43</v>
      </c>
      <c r="E410" s="1">
        <v>45515</v>
      </c>
      <c r="F410" s="1">
        <v>45516</v>
      </c>
      <c r="G410">
        <v>16</v>
      </c>
      <c r="H410">
        <v>5.79</v>
      </c>
      <c r="I410">
        <v>7.68</v>
      </c>
      <c r="J410">
        <v>2.6</v>
      </c>
      <c r="K410">
        <v>0</v>
      </c>
      <c r="L410">
        <v>25.74</v>
      </c>
      <c r="M410" t="s">
        <v>43</v>
      </c>
      <c r="N410" t="s">
        <v>24</v>
      </c>
      <c r="O410">
        <v>16</v>
      </c>
      <c r="P410">
        <v>8</v>
      </c>
      <c r="Q410" t="s">
        <v>58</v>
      </c>
      <c r="R410" t="s">
        <v>32</v>
      </c>
      <c r="S410">
        <v>0</v>
      </c>
    </row>
    <row r="411" spans="1:19" x14ac:dyDescent="0.45">
      <c r="A411" t="s">
        <v>474</v>
      </c>
      <c r="B411" t="s">
        <v>52</v>
      </c>
      <c r="C411" t="s">
        <v>82</v>
      </c>
      <c r="D411" t="s">
        <v>56</v>
      </c>
      <c r="E411" s="1">
        <v>45485</v>
      </c>
      <c r="F411" s="1">
        <v>45489</v>
      </c>
      <c r="G411">
        <v>89</v>
      </c>
      <c r="H411">
        <v>5.19</v>
      </c>
      <c r="I411">
        <v>7.7</v>
      </c>
      <c r="J411">
        <v>2.54</v>
      </c>
      <c r="K411">
        <v>0</v>
      </c>
      <c r="L411">
        <v>70.87</v>
      </c>
      <c r="M411" t="s">
        <v>44</v>
      </c>
      <c r="N411" t="s">
        <v>24</v>
      </c>
      <c r="O411">
        <v>89</v>
      </c>
      <c r="P411">
        <v>7</v>
      </c>
      <c r="Q411" t="s">
        <v>31</v>
      </c>
      <c r="R411" t="s">
        <v>32</v>
      </c>
      <c r="S411">
        <v>0</v>
      </c>
    </row>
    <row r="412" spans="1:19" x14ac:dyDescent="0.45">
      <c r="A412" t="s">
        <v>475</v>
      </c>
      <c r="B412" t="s">
        <v>20</v>
      </c>
      <c r="C412" t="s">
        <v>82</v>
      </c>
      <c r="D412" t="s">
        <v>50</v>
      </c>
      <c r="E412" s="1">
        <v>45580</v>
      </c>
      <c r="F412" s="1">
        <v>45582</v>
      </c>
      <c r="G412">
        <v>35</v>
      </c>
      <c r="H412">
        <v>5.45</v>
      </c>
      <c r="I412">
        <v>7.75</v>
      </c>
      <c r="J412">
        <v>2.75</v>
      </c>
      <c r="K412">
        <v>0</v>
      </c>
      <c r="L412">
        <v>20.329999999999998</v>
      </c>
      <c r="M412" t="s">
        <v>35</v>
      </c>
      <c r="N412" t="s">
        <v>24</v>
      </c>
      <c r="O412">
        <v>35</v>
      </c>
      <c r="P412">
        <v>10</v>
      </c>
      <c r="Q412" t="s">
        <v>61</v>
      </c>
      <c r="R412" t="s">
        <v>62</v>
      </c>
      <c r="S412">
        <v>0</v>
      </c>
    </row>
    <row r="413" spans="1:19" x14ac:dyDescent="0.45">
      <c r="A413" t="s">
        <v>476</v>
      </c>
      <c r="B413" t="s">
        <v>52</v>
      </c>
      <c r="C413" t="s">
        <v>53</v>
      </c>
      <c r="D413" t="s">
        <v>78</v>
      </c>
      <c r="E413" s="1">
        <v>45572</v>
      </c>
      <c r="F413" s="1">
        <v>45573</v>
      </c>
      <c r="G413">
        <v>25</v>
      </c>
      <c r="H413">
        <v>5.64</v>
      </c>
      <c r="I413">
        <v>9.1</v>
      </c>
      <c r="J413">
        <v>2.78</v>
      </c>
      <c r="K413">
        <v>4</v>
      </c>
      <c r="L413">
        <v>15.02</v>
      </c>
      <c r="M413" t="s">
        <v>23</v>
      </c>
      <c r="N413" t="s">
        <v>109</v>
      </c>
      <c r="O413">
        <v>25</v>
      </c>
      <c r="P413">
        <v>10</v>
      </c>
      <c r="Q413" t="s">
        <v>61</v>
      </c>
      <c r="R413" t="s">
        <v>62</v>
      </c>
      <c r="S413">
        <v>0</v>
      </c>
    </row>
    <row r="414" spans="1:19" x14ac:dyDescent="0.45">
      <c r="A414" t="s">
        <v>477</v>
      </c>
      <c r="B414" t="s">
        <v>37</v>
      </c>
      <c r="C414" t="s">
        <v>93</v>
      </c>
      <c r="D414" t="s">
        <v>56</v>
      </c>
      <c r="E414" s="1">
        <v>45421</v>
      </c>
      <c r="F414" s="1">
        <v>45423</v>
      </c>
      <c r="G414">
        <v>38</v>
      </c>
      <c r="H414">
        <v>4.8</v>
      </c>
      <c r="I414">
        <v>7.72</v>
      </c>
      <c r="J414">
        <v>2.5</v>
      </c>
      <c r="K414">
        <v>0</v>
      </c>
      <c r="L414">
        <v>20.34</v>
      </c>
      <c r="M414" t="s">
        <v>23</v>
      </c>
      <c r="N414" t="s">
        <v>24</v>
      </c>
      <c r="O414">
        <v>38</v>
      </c>
      <c r="P414">
        <v>5</v>
      </c>
      <c r="Q414" t="s">
        <v>67</v>
      </c>
      <c r="R414" t="s">
        <v>46</v>
      </c>
      <c r="S414">
        <v>0</v>
      </c>
    </row>
    <row r="415" spans="1:19" x14ac:dyDescent="0.45">
      <c r="A415" t="s">
        <v>478</v>
      </c>
      <c r="B415" t="s">
        <v>20</v>
      </c>
      <c r="C415" t="s">
        <v>34</v>
      </c>
      <c r="D415" t="s">
        <v>22</v>
      </c>
      <c r="E415" s="1">
        <v>45491</v>
      </c>
      <c r="F415" s="1">
        <v>45494</v>
      </c>
      <c r="G415">
        <v>51</v>
      </c>
      <c r="H415">
        <v>4.75</v>
      </c>
      <c r="I415">
        <v>7.75</v>
      </c>
      <c r="J415">
        <v>2.6</v>
      </c>
      <c r="K415">
        <v>0</v>
      </c>
      <c r="L415">
        <v>38.299999999999997</v>
      </c>
      <c r="M415" t="s">
        <v>30</v>
      </c>
      <c r="N415" t="s">
        <v>24</v>
      </c>
      <c r="O415">
        <v>51</v>
      </c>
      <c r="P415">
        <v>7</v>
      </c>
      <c r="Q415" t="s">
        <v>31</v>
      </c>
      <c r="R415" t="s">
        <v>32</v>
      </c>
      <c r="S415">
        <v>0</v>
      </c>
    </row>
    <row r="416" spans="1:19" x14ac:dyDescent="0.45">
      <c r="A416" t="s">
        <v>479</v>
      </c>
      <c r="B416" t="s">
        <v>20</v>
      </c>
      <c r="C416" t="s">
        <v>38</v>
      </c>
      <c r="D416" t="s">
        <v>50</v>
      </c>
      <c r="E416" s="1">
        <v>45335.958333333336</v>
      </c>
      <c r="F416" s="1">
        <v>45338.958333333336</v>
      </c>
      <c r="G416">
        <v>72</v>
      </c>
      <c r="H416">
        <v>5.56</v>
      </c>
      <c r="I416">
        <v>7.8</v>
      </c>
      <c r="J416">
        <v>2.6</v>
      </c>
      <c r="K416">
        <v>0</v>
      </c>
      <c r="L416">
        <v>68.19</v>
      </c>
      <c r="M416" t="s">
        <v>79</v>
      </c>
      <c r="N416" t="s">
        <v>24</v>
      </c>
      <c r="O416">
        <v>72</v>
      </c>
      <c r="P416">
        <v>2</v>
      </c>
      <c r="Q416" t="s">
        <v>65</v>
      </c>
      <c r="R416" t="s">
        <v>26</v>
      </c>
      <c r="S416">
        <v>0</v>
      </c>
    </row>
    <row r="417" spans="1:19" x14ac:dyDescent="0.45">
      <c r="A417" t="s">
        <v>480</v>
      </c>
      <c r="B417" t="s">
        <v>48</v>
      </c>
      <c r="C417" t="s">
        <v>38</v>
      </c>
      <c r="D417" t="s">
        <v>78</v>
      </c>
      <c r="E417" s="1">
        <v>45602.875</v>
      </c>
      <c r="F417" s="1">
        <v>45605.416666666664</v>
      </c>
      <c r="G417">
        <v>61</v>
      </c>
      <c r="H417">
        <v>5.25</v>
      </c>
      <c r="I417">
        <v>9.3800000000000008</v>
      </c>
      <c r="J417">
        <v>2.5499999999999998</v>
      </c>
      <c r="K417">
        <v>2</v>
      </c>
      <c r="L417">
        <v>20.25</v>
      </c>
      <c r="M417" t="s">
        <v>106</v>
      </c>
      <c r="N417" t="s">
        <v>109</v>
      </c>
      <c r="O417">
        <v>61</v>
      </c>
      <c r="P417">
        <v>11</v>
      </c>
      <c r="Q417" t="s">
        <v>89</v>
      </c>
      <c r="R417" t="s">
        <v>62</v>
      </c>
      <c r="S417">
        <v>0</v>
      </c>
    </row>
    <row r="418" spans="1:19" x14ac:dyDescent="0.45">
      <c r="A418" t="s">
        <v>481</v>
      </c>
      <c r="B418" t="s">
        <v>52</v>
      </c>
      <c r="C418" t="s">
        <v>82</v>
      </c>
      <c r="D418" t="s">
        <v>56</v>
      </c>
      <c r="E418" s="1">
        <v>45347</v>
      </c>
      <c r="F418" s="1">
        <v>45348</v>
      </c>
      <c r="G418">
        <v>17</v>
      </c>
      <c r="H418">
        <v>4.8899999999999997</v>
      </c>
      <c r="I418">
        <v>7.73</v>
      </c>
      <c r="J418">
        <v>2.64</v>
      </c>
      <c r="K418">
        <v>0</v>
      </c>
      <c r="L418">
        <v>14.21</v>
      </c>
      <c r="M418" t="s">
        <v>79</v>
      </c>
      <c r="N418" t="s">
        <v>24</v>
      </c>
      <c r="O418">
        <v>17</v>
      </c>
      <c r="P418">
        <v>2</v>
      </c>
      <c r="Q418" t="s">
        <v>65</v>
      </c>
      <c r="R418" t="s">
        <v>26</v>
      </c>
      <c r="S418">
        <v>0</v>
      </c>
    </row>
    <row r="419" spans="1:19" x14ac:dyDescent="0.45">
      <c r="A419" t="s">
        <v>482</v>
      </c>
      <c r="B419" t="s">
        <v>48</v>
      </c>
      <c r="C419" t="s">
        <v>73</v>
      </c>
      <c r="D419" t="s">
        <v>56</v>
      </c>
      <c r="E419" s="1">
        <v>45419.708333333336</v>
      </c>
      <c r="F419" s="1">
        <v>45421.916666666664</v>
      </c>
      <c r="G419">
        <v>53</v>
      </c>
      <c r="H419">
        <v>4.8899999999999997</v>
      </c>
      <c r="I419">
        <v>7.5</v>
      </c>
      <c r="J419">
        <v>2.73</v>
      </c>
      <c r="K419">
        <v>0</v>
      </c>
      <c r="L419">
        <v>59.85</v>
      </c>
      <c r="M419" t="s">
        <v>44</v>
      </c>
      <c r="N419" t="s">
        <v>24</v>
      </c>
      <c r="O419">
        <v>53</v>
      </c>
      <c r="P419">
        <v>5</v>
      </c>
      <c r="Q419" t="s">
        <v>67</v>
      </c>
      <c r="R419" t="s">
        <v>46</v>
      </c>
      <c r="S419">
        <v>0</v>
      </c>
    </row>
    <row r="420" spans="1:19" x14ac:dyDescent="0.45">
      <c r="A420" t="s">
        <v>483</v>
      </c>
      <c r="B420" t="s">
        <v>48</v>
      </c>
      <c r="C420" t="s">
        <v>93</v>
      </c>
      <c r="D420" t="s">
        <v>22</v>
      </c>
      <c r="E420" s="1">
        <v>45306</v>
      </c>
      <c r="F420" s="1">
        <v>45310</v>
      </c>
      <c r="G420">
        <v>83</v>
      </c>
      <c r="H420">
        <v>5.0199999999999996</v>
      </c>
      <c r="I420">
        <v>7.8</v>
      </c>
      <c r="J420">
        <v>2.58</v>
      </c>
      <c r="K420">
        <v>0</v>
      </c>
      <c r="L420">
        <v>40.6</v>
      </c>
      <c r="M420" t="s">
        <v>44</v>
      </c>
      <c r="N420" t="s">
        <v>24</v>
      </c>
      <c r="O420">
        <v>83</v>
      </c>
      <c r="P420">
        <v>1</v>
      </c>
      <c r="Q420" t="s">
        <v>25</v>
      </c>
      <c r="R420" t="s">
        <v>26</v>
      </c>
      <c r="S420">
        <v>0</v>
      </c>
    </row>
    <row r="421" spans="1:19" x14ac:dyDescent="0.45">
      <c r="A421" t="s">
        <v>484</v>
      </c>
      <c r="B421" t="s">
        <v>28</v>
      </c>
      <c r="C421" t="s">
        <v>53</v>
      </c>
      <c r="D421" t="s">
        <v>78</v>
      </c>
      <c r="E421" s="1">
        <v>45459</v>
      </c>
      <c r="F421" s="1">
        <v>45462</v>
      </c>
      <c r="G421">
        <v>62</v>
      </c>
      <c r="H421">
        <v>5.19</v>
      </c>
      <c r="I421">
        <v>7.77</v>
      </c>
      <c r="J421">
        <v>2.66</v>
      </c>
      <c r="K421">
        <v>0</v>
      </c>
      <c r="L421">
        <v>77.67</v>
      </c>
      <c r="M421" t="s">
        <v>30</v>
      </c>
      <c r="N421" t="s">
        <v>24</v>
      </c>
      <c r="O421">
        <v>62</v>
      </c>
      <c r="P421">
        <v>6</v>
      </c>
      <c r="Q421" t="s">
        <v>40</v>
      </c>
      <c r="R421" t="s">
        <v>32</v>
      </c>
      <c r="S421">
        <v>0</v>
      </c>
    </row>
    <row r="422" spans="1:19" x14ac:dyDescent="0.45">
      <c r="A422" t="s">
        <v>485</v>
      </c>
      <c r="B422" t="s">
        <v>20</v>
      </c>
      <c r="C422" t="s">
        <v>53</v>
      </c>
      <c r="D422" t="s">
        <v>78</v>
      </c>
      <c r="E422" s="1">
        <v>45558.958333333336</v>
      </c>
      <c r="F422" s="1">
        <v>45560.083333333336</v>
      </c>
      <c r="G422">
        <v>27</v>
      </c>
      <c r="H422">
        <v>4.84</v>
      </c>
      <c r="I422">
        <v>7.65</v>
      </c>
      <c r="J422">
        <v>2.5499999999999998</v>
      </c>
      <c r="K422">
        <v>0</v>
      </c>
      <c r="L422">
        <v>17.46</v>
      </c>
      <c r="M422" t="s">
        <v>30</v>
      </c>
      <c r="N422" t="s">
        <v>24</v>
      </c>
      <c r="O422">
        <v>27</v>
      </c>
      <c r="P422">
        <v>9</v>
      </c>
      <c r="Q422" t="s">
        <v>76</v>
      </c>
      <c r="R422" t="s">
        <v>32</v>
      </c>
      <c r="S422">
        <v>0</v>
      </c>
    </row>
    <row r="423" spans="1:19" x14ac:dyDescent="0.45">
      <c r="A423" t="s">
        <v>486</v>
      </c>
      <c r="B423" t="s">
        <v>48</v>
      </c>
      <c r="C423" t="s">
        <v>42</v>
      </c>
      <c r="D423" t="s">
        <v>56</v>
      </c>
      <c r="E423" s="1">
        <v>45499.041666666664</v>
      </c>
      <c r="F423" s="1">
        <v>45500.166666666664</v>
      </c>
      <c r="G423">
        <v>27</v>
      </c>
      <c r="H423">
        <v>5.49</v>
      </c>
      <c r="I423">
        <v>7.6</v>
      </c>
      <c r="J423">
        <v>2.56</v>
      </c>
      <c r="K423">
        <v>0</v>
      </c>
      <c r="L423">
        <v>57.22</v>
      </c>
      <c r="M423" t="s">
        <v>23</v>
      </c>
      <c r="N423" t="s">
        <v>24</v>
      </c>
      <c r="O423">
        <v>27</v>
      </c>
      <c r="P423">
        <v>7</v>
      </c>
      <c r="Q423" t="s">
        <v>31</v>
      </c>
      <c r="R423" t="s">
        <v>32</v>
      </c>
      <c r="S423">
        <v>0</v>
      </c>
    </row>
    <row r="424" spans="1:19" x14ac:dyDescent="0.45">
      <c r="A424" t="s">
        <v>487</v>
      </c>
      <c r="B424" t="s">
        <v>28</v>
      </c>
      <c r="C424" t="s">
        <v>82</v>
      </c>
      <c r="D424" t="s">
        <v>50</v>
      </c>
      <c r="E424" s="1">
        <v>45440.791666666664</v>
      </c>
      <c r="F424" s="1">
        <v>45441.375</v>
      </c>
      <c r="G424">
        <v>14</v>
      </c>
      <c r="H424">
        <v>4.9000000000000004</v>
      </c>
      <c r="I424">
        <v>6.91</v>
      </c>
      <c r="J424">
        <v>3.25</v>
      </c>
      <c r="K424">
        <v>0</v>
      </c>
      <c r="L424">
        <v>64.709999999999994</v>
      </c>
      <c r="M424" t="s">
        <v>30</v>
      </c>
      <c r="N424" t="s">
        <v>24</v>
      </c>
      <c r="O424">
        <v>14</v>
      </c>
      <c r="P424">
        <v>5</v>
      </c>
      <c r="Q424" t="s">
        <v>67</v>
      </c>
      <c r="R424" t="s">
        <v>46</v>
      </c>
      <c r="S424">
        <v>0</v>
      </c>
    </row>
    <row r="425" spans="1:19" x14ac:dyDescent="0.45">
      <c r="A425" t="s">
        <v>488</v>
      </c>
      <c r="B425" t="s">
        <v>48</v>
      </c>
      <c r="C425" t="s">
        <v>82</v>
      </c>
      <c r="D425" t="s">
        <v>22</v>
      </c>
      <c r="E425" s="1">
        <v>45604</v>
      </c>
      <c r="F425" s="1">
        <v>45605</v>
      </c>
      <c r="G425">
        <v>33</v>
      </c>
      <c r="H425">
        <v>5.4</v>
      </c>
      <c r="I425">
        <v>7.61</v>
      </c>
      <c r="J425">
        <v>2.5</v>
      </c>
      <c r="K425">
        <v>0</v>
      </c>
      <c r="L425">
        <v>74.17</v>
      </c>
      <c r="M425" t="s">
        <v>30</v>
      </c>
      <c r="N425" t="s">
        <v>24</v>
      </c>
      <c r="O425">
        <v>33</v>
      </c>
      <c r="P425">
        <v>11</v>
      </c>
      <c r="Q425" t="s">
        <v>89</v>
      </c>
      <c r="R425" t="s">
        <v>62</v>
      </c>
      <c r="S425">
        <v>0</v>
      </c>
    </row>
    <row r="426" spans="1:19" x14ac:dyDescent="0.45">
      <c r="A426" t="s">
        <v>489</v>
      </c>
      <c r="B426" t="s">
        <v>52</v>
      </c>
      <c r="C426" t="s">
        <v>42</v>
      </c>
      <c r="D426" t="s">
        <v>56</v>
      </c>
      <c r="E426" s="1">
        <v>45334.875</v>
      </c>
      <c r="F426" s="1">
        <v>45336.083333333336</v>
      </c>
      <c r="G426">
        <v>29</v>
      </c>
      <c r="H426">
        <v>5.15</v>
      </c>
      <c r="I426">
        <v>7.6</v>
      </c>
      <c r="J426">
        <v>2.68</v>
      </c>
      <c r="K426">
        <v>0</v>
      </c>
      <c r="L426">
        <v>18.670000000000002</v>
      </c>
      <c r="M426" t="s">
        <v>106</v>
      </c>
      <c r="N426" t="s">
        <v>24</v>
      </c>
      <c r="O426">
        <v>29</v>
      </c>
      <c r="P426">
        <v>2</v>
      </c>
      <c r="Q426" t="s">
        <v>65</v>
      </c>
      <c r="R426" t="s">
        <v>26</v>
      </c>
      <c r="S426">
        <v>0</v>
      </c>
    </row>
    <row r="427" spans="1:19" x14ac:dyDescent="0.45">
      <c r="A427" t="s">
        <v>490</v>
      </c>
      <c r="B427" t="s">
        <v>20</v>
      </c>
      <c r="C427" t="s">
        <v>82</v>
      </c>
      <c r="D427" t="s">
        <v>56</v>
      </c>
      <c r="E427" s="1">
        <v>45380</v>
      </c>
      <c r="F427" s="1">
        <v>45382</v>
      </c>
      <c r="G427">
        <v>47</v>
      </c>
      <c r="H427">
        <v>4.62</v>
      </c>
      <c r="I427">
        <v>7.7</v>
      </c>
      <c r="J427">
        <v>2.5099999999999998</v>
      </c>
      <c r="K427">
        <v>0</v>
      </c>
      <c r="L427">
        <v>63.62</v>
      </c>
      <c r="M427" t="s">
        <v>30</v>
      </c>
      <c r="N427" t="s">
        <v>24</v>
      </c>
      <c r="O427">
        <v>47</v>
      </c>
      <c r="P427">
        <v>3</v>
      </c>
      <c r="Q427" t="s">
        <v>45</v>
      </c>
      <c r="R427" t="s">
        <v>46</v>
      </c>
      <c r="S427">
        <v>0</v>
      </c>
    </row>
    <row r="428" spans="1:19" x14ac:dyDescent="0.45">
      <c r="A428" t="s">
        <v>491</v>
      </c>
      <c r="B428" t="s">
        <v>52</v>
      </c>
      <c r="C428" t="s">
        <v>21</v>
      </c>
      <c r="D428" t="s">
        <v>78</v>
      </c>
      <c r="E428" s="1">
        <v>45522</v>
      </c>
      <c r="F428" s="1">
        <v>45525</v>
      </c>
      <c r="G428">
        <v>71</v>
      </c>
      <c r="H428">
        <v>5.15</v>
      </c>
      <c r="I428">
        <v>7.78</v>
      </c>
      <c r="J428">
        <v>2.67</v>
      </c>
      <c r="K428">
        <v>0</v>
      </c>
      <c r="L428">
        <v>47.74</v>
      </c>
      <c r="M428" t="s">
        <v>79</v>
      </c>
      <c r="N428" t="s">
        <v>24</v>
      </c>
      <c r="O428">
        <v>71</v>
      </c>
      <c r="P428">
        <v>8</v>
      </c>
      <c r="Q428" t="s">
        <v>58</v>
      </c>
      <c r="R428" t="s">
        <v>32</v>
      </c>
      <c r="S428">
        <v>0</v>
      </c>
    </row>
    <row r="429" spans="1:19" x14ac:dyDescent="0.45">
      <c r="A429" t="s">
        <v>492</v>
      </c>
      <c r="B429" t="s">
        <v>52</v>
      </c>
      <c r="C429" t="s">
        <v>42</v>
      </c>
      <c r="D429" t="s">
        <v>29</v>
      </c>
      <c r="E429" s="1">
        <v>45637.5</v>
      </c>
      <c r="F429" s="1">
        <v>45641.125</v>
      </c>
      <c r="G429">
        <v>87</v>
      </c>
      <c r="H429">
        <v>5.18</v>
      </c>
      <c r="I429">
        <v>7.75</v>
      </c>
      <c r="J429">
        <v>2.58</v>
      </c>
      <c r="K429">
        <v>0</v>
      </c>
      <c r="L429">
        <v>20.98</v>
      </c>
      <c r="M429" t="s">
        <v>44</v>
      </c>
      <c r="N429" t="s">
        <v>24</v>
      </c>
      <c r="O429">
        <v>87</v>
      </c>
      <c r="P429">
        <v>12</v>
      </c>
      <c r="Q429" t="s">
        <v>54</v>
      </c>
      <c r="R429" t="s">
        <v>26</v>
      </c>
      <c r="S429">
        <v>0</v>
      </c>
    </row>
    <row r="430" spans="1:19" x14ac:dyDescent="0.45">
      <c r="A430" t="s">
        <v>493</v>
      </c>
      <c r="B430" t="s">
        <v>37</v>
      </c>
      <c r="C430" t="s">
        <v>38</v>
      </c>
      <c r="D430" t="s">
        <v>78</v>
      </c>
      <c r="E430" s="1">
        <v>45313.541666666664</v>
      </c>
      <c r="F430" s="1">
        <v>45314.125</v>
      </c>
      <c r="G430">
        <v>14</v>
      </c>
      <c r="H430">
        <v>6.45</v>
      </c>
      <c r="I430">
        <v>9.1199999999999992</v>
      </c>
      <c r="J430">
        <v>3.11</v>
      </c>
      <c r="K430">
        <v>4</v>
      </c>
      <c r="L430">
        <v>39.479999999999997</v>
      </c>
      <c r="M430" t="s">
        <v>79</v>
      </c>
      <c r="N430" t="s">
        <v>109</v>
      </c>
      <c r="O430">
        <v>14</v>
      </c>
      <c r="P430">
        <v>1</v>
      </c>
      <c r="Q430" t="s">
        <v>25</v>
      </c>
      <c r="R430" t="s">
        <v>26</v>
      </c>
      <c r="S430">
        <v>0</v>
      </c>
    </row>
    <row r="431" spans="1:19" x14ac:dyDescent="0.45">
      <c r="A431" t="s">
        <v>494</v>
      </c>
      <c r="B431" t="s">
        <v>37</v>
      </c>
      <c r="C431" t="s">
        <v>38</v>
      </c>
      <c r="D431" t="s">
        <v>22</v>
      </c>
      <c r="E431" s="1">
        <v>45364.25</v>
      </c>
      <c r="F431" s="1">
        <v>45368.125</v>
      </c>
      <c r="G431">
        <v>93</v>
      </c>
      <c r="H431">
        <v>5.15</v>
      </c>
      <c r="I431">
        <v>7.66</v>
      </c>
      <c r="J431">
        <v>2.58</v>
      </c>
      <c r="K431">
        <v>0</v>
      </c>
      <c r="L431">
        <v>43.3</v>
      </c>
      <c r="M431" t="s">
        <v>79</v>
      </c>
      <c r="N431" t="s">
        <v>24</v>
      </c>
      <c r="O431">
        <v>93</v>
      </c>
      <c r="P431">
        <v>3</v>
      </c>
      <c r="Q431" t="s">
        <v>45</v>
      </c>
      <c r="R431" t="s">
        <v>46</v>
      </c>
      <c r="S431">
        <v>0</v>
      </c>
    </row>
    <row r="432" spans="1:19" x14ac:dyDescent="0.45">
      <c r="A432" t="s">
        <v>495</v>
      </c>
      <c r="B432" t="s">
        <v>28</v>
      </c>
      <c r="C432" t="s">
        <v>73</v>
      </c>
      <c r="D432" t="s">
        <v>29</v>
      </c>
      <c r="E432" s="1">
        <v>45538.083333333336</v>
      </c>
      <c r="F432" s="1">
        <v>45540.041666666664</v>
      </c>
      <c r="G432">
        <v>47</v>
      </c>
      <c r="H432">
        <v>6.83</v>
      </c>
      <c r="I432">
        <v>12.47</v>
      </c>
      <c r="J432">
        <v>2.5099999999999998</v>
      </c>
      <c r="K432">
        <v>12</v>
      </c>
      <c r="L432">
        <v>31.32</v>
      </c>
      <c r="M432" t="s">
        <v>44</v>
      </c>
      <c r="N432" t="s">
        <v>39</v>
      </c>
      <c r="O432">
        <v>47</v>
      </c>
      <c r="P432">
        <v>9</v>
      </c>
      <c r="Q432" t="s">
        <v>76</v>
      </c>
      <c r="R432" t="s">
        <v>32</v>
      </c>
      <c r="S432">
        <v>31.32</v>
      </c>
    </row>
    <row r="433" spans="1:19" x14ac:dyDescent="0.45">
      <c r="A433" t="s">
        <v>496</v>
      </c>
      <c r="B433" t="s">
        <v>20</v>
      </c>
      <c r="C433" t="s">
        <v>93</v>
      </c>
      <c r="D433" t="s">
        <v>50</v>
      </c>
      <c r="E433" s="1">
        <v>45334</v>
      </c>
      <c r="F433" s="1">
        <v>45338</v>
      </c>
      <c r="G433">
        <v>88</v>
      </c>
      <c r="H433">
        <v>5.1100000000000003</v>
      </c>
      <c r="I433">
        <v>7.76</v>
      </c>
      <c r="J433">
        <v>2.74</v>
      </c>
      <c r="K433">
        <v>0</v>
      </c>
      <c r="L433">
        <v>29.95</v>
      </c>
      <c r="M433" t="s">
        <v>44</v>
      </c>
      <c r="N433" t="s">
        <v>24</v>
      </c>
      <c r="O433">
        <v>88</v>
      </c>
      <c r="P433">
        <v>2</v>
      </c>
      <c r="Q433" t="s">
        <v>65</v>
      </c>
      <c r="R433" t="s">
        <v>26</v>
      </c>
      <c r="S433">
        <v>0</v>
      </c>
    </row>
    <row r="434" spans="1:19" x14ac:dyDescent="0.45">
      <c r="A434" t="s">
        <v>497</v>
      </c>
      <c r="B434" t="s">
        <v>28</v>
      </c>
      <c r="C434" t="s">
        <v>53</v>
      </c>
      <c r="D434" t="s">
        <v>56</v>
      </c>
      <c r="E434" s="1">
        <v>45516.166666666664</v>
      </c>
      <c r="F434" s="1">
        <v>45518.375</v>
      </c>
      <c r="G434">
        <v>53</v>
      </c>
      <c r="H434">
        <v>5.19</v>
      </c>
      <c r="I434">
        <v>7.79</v>
      </c>
      <c r="J434">
        <v>2.73</v>
      </c>
      <c r="K434">
        <v>0</v>
      </c>
      <c r="L434">
        <v>60.02</v>
      </c>
      <c r="M434" t="s">
        <v>35</v>
      </c>
      <c r="N434" t="s">
        <v>24</v>
      </c>
      <c r="O434">
        <v>53</v>
      </c>
      <c r="P434">
        <v>8</v>
      </c>
      <c r="Q434" t="s">
        <v>58</v>
      </c>
      <c r="R434" t="s">
        <v>32</v>
      </c>
      <c r="S434">
        <v>0</v>
      </c>
    </row>
    <row r="435" spans="1:19" x14ac:dyDescent="0.45">
      <c r="A435" t="s">
        <v>498</v>
      </c>
      <c r="B435" t="s">
        <v>20</v>
      </c>
      <c r="C435" t="s">
        <v>21</v>
      </c>
      <c r="D435" t="s">
        <v>22</v>
      </c>
      <c r="E435" s="1">
        <v>45498</v>
      </c>
      <c r="F435" s="1">
        <v>45501</v>
      </c>
      <c r="G435">
        <v>74</v>
      </c>
      <c r="H435">
        <v>5.17</v>
      </c>
      <c r="I435">
        <v>7.73</v>
      </c>
      <c r="J435">
        <v>2.5099999999999998</v>
      </c>
      <c r="K435">
        <v>0</v>
      </c>
      <c r="L435">
        <v>15.51</v>
      </c>
      <c r="M435" t="s">
        <v>23</v>
      </c>
      <c r="N435" t="s">
        <v>24</v>
      </c>
      <c r="O435">
        <v>74</v>
      </c>
      <c r="P435">
        <v>7</v>
      </c>
      <c r="Q435" t="s">
        <v>31</v>
      </c>
      <c r="R435" t="s">
        <v>32</v>
      </c>
      <c r="S435">
        <v>0</v>
      </c>
    </row>
    <row r="436" spans="1:19" x14ac:dyDescent="0.45">
      <c r="A436" t="s">
        <v>499</v>
      </c>
      <c r="B436" t="s">
        <v>20</v>
      </c>
      <c r="C436" t="s">
        <v>34</v>
      </c>
      <c r="D436" t="s">
        <v>22</v>
      </c>
      <c r="E436" s="1">
        <v>45479.5</v>
      </c>
      <c r="F436" s="1">
        <v>45482.958333333336</v>
      </c>
      <c r="G436">
        <v>83</v>
      </c>
      <c r="H436">
        <v>5.51</v>
      </c>
      <c r="I436">
        <v>7.62</v>
      </c>
      <c r="J436">
        <v>2.54</v>
      </c>
      <c r="K436">
        <v>0</v>
      </c>
      <c r="L436">
        <v>71.36</v>
      </c>
      <c r="M436" t="s">
        <v>23</v>
      </c>
      <c r="N436" t="s">
        <v>24</v>
      </c>
      <c r="O436">
        <v>83</v>
      </c>
      <c r="P436">
        <v>7</v>
      </c>
      <c r="Q436" t="s">
        <v>31</v>
      </c>
      <c r="R436" t="s">
        <v>32</v>
      </c>
      <c r="S436">
        <v>0</v>
      </c>
    </row>
    <row r="437" spans="1:19" x14ac:dyDescent="0.45">
      <c r="A437" t="s">
        <v>500</v>
      </c>
      <c r="B437" t="s">
        <v>20</v>
      </c>
      <c r="C437" t="s">
        <v>73</v>
      </c>
      <c r="D437" t="s">
        <v>56</v>
      </c>
      <c r="E437" s="1">
        <v>45399</v>
      </c>
      <c r="F437" s="1">
        <v>45401</v>
      </c>
      <c r="G437">
        <v>45</v>
      </c>
      <c r="H437">
        <v>5.37</v>
      </c>
      <c r="I437">
        <v>7.7</v>
      </c>
      <c r="J437">
        <v>2.57</v>
      </c>
      <c r="K437">
        <v>0</v>
      </c>
      <c r="L437">
        <v>37.409999999999997</v>
      </c>
      <c r="M437" t="s">
        <v>75</v>
      </c>
      <c r="N437" t="s">
        <v>24</v>
      </c>
      <c r="O437">
        <v>45</v>
      </c>
      <c r="P437">
        <v>4</v>
      </c>
      <c r="Q437" t="s">
        <v>69</v>
      </c>
      <c r="R437" t="s">
        <v>46</v>
      </c>
      <c r="S437">
        <v>0</v>
      </c>
    </row>
    <row r="438" spans="1:19" x14ac:dyDescent="0.45">
      <c r="A438" t="s">
        <v>501</v>
      </c>
      <c r="B438" t="s">
        <v>37</v>
      </c>
      <c r="C438" t="s">
        <v>38</v>
      </c>
      <c r="D438" t="s">
        <v>50</v>
      </c>
      <c r="E438" s="1">
        <v>45496.875</v>
      </c>
      <c r="F438" s="1">
        <v>45498.958333333336</v>
      </c>
      <c r="G438">
        <v>50</v>
      </c>
      <c r="H438">
        <v>5.0199999999999996</v>
      </c>
      <c r="I438">
        <v>7.7</v>
      </c>
      <c r="J438">
        <v>2.54</v>
      </c>
      <c r="K438">
        <v>0</v>
      </c>
      <c r="L438">
        <v>52.13</v>
      </c>
      <c r="M438" t="s">
        <v>57</v>
      </c>
      <c r="N438" t="s">
        <v>24</v>
      </c>
      <c r="O438">
        <v>50</v>
      </c>
      <c r="P438">
        <v>7</v>
      </c>
      <c r="Q438" t="s">
        <v>31</v>
      </c>
      <c r="R438" t="s">
        <v>32</v>
      </c>
      <c r="S438">
        <v>0</v>
      </c>
    </row>
    <row r="439" spans="1:19" x14ac:dyDescent="0.45">
      <c r="A439" t="s">
        <v>502</v>
      </c>
      <c r="B439" t="s">
        <v>52</v>
      </c>
      <c r="C439" t="s">
        <v>34</v>
      </c>
      <c r="D439" t="s">
        <v>78</v>
      </c>
      <c r="E439" s="1">
        <v>45555.083333333336</v>
      </c>
      <c r="F439" s="1">
        <v>45557.666666666664</v>
      </c>
      <c r="G439">
        <v>62</v>
      </c>
      <c r="H439">
        <v>5.32</v>
      </c>
      <c r="I439">
        <v>7.74</v>
      </c>
      <c r="J439">
        <v>2.6</v>
      </c>
      <c r="K439">
        <v>0</v>
      </c>
      <c r="L439">
        <v>38.04</v>
      </c>
      <c r="M439" t="s">
        <v>35</v>
      </c>
      <c r="N439" t="s">
        <v>24</v>
      </c>
      <c r="O439">
        <v>62</v>
      </c>
      <c r="P439">
        <v>9</v>
      </c>
      <c r="Q439" t="s">
        <v>76</v>
      </c>
      <c r="R439" t="s">
        <v>32</v>
      </c>
      <c r="S439">
        <v>0</v>
      </c>
    </row>
    <row r="440" spans="1:19" x14ac:dyDescent="0.45">
      <c r="A440" t="s">
        <v>503</v>
      </c>
      <c r="B440" t="s">
        <v>20</v>
      </c>
      <c r="C440" t="s">
        <v>73</v>
      </c>
      <c r="D440" t="s">
        <v>50</v>
      </c>
      <c r="E440" s="1">
        <v>45372</v>
      </c>
      <c r="F440" s="1">
        <v>45373</v>
      </c>
      <c r="G440">
        <v>17</v>
      </c>
      <c r="H440">
        <v>4.74</v>
      </c>
      <c r="I440">
        <v>7.28</v>
      </c>
      <c r="J440">
        <v>2.56</v>
      </c>
      <c r="K440">
        <v>0</v>
      </c>
      <c r="L440">
        <v>70.75</v>
      </c>
      <c r="M440" t="s">
        <v>79</v>
      </c>
      <c r="N440" t="s">
        <v>24</v>
      </c>
      <c r="O440">
        <v>17</v>
      </c>
      <c r="P440">
        <v>3</v>
      </c>
      <c r="Q440" t="s">
        <v>45</v>
      </c>
      <c r="R440" t="s">
        <v>46</v>
      </c>
      <c r="S440">
        <v>0</v>
      </c>
    </row>
    <row r="441" spans="1:19" x14ac:dyDescent="0.45">
      <c r="A441" t="s">
        <v>504</v>
      </c>
      <c r="B441" t="s">
        <v>28</v>
      </c>
      <c r="C441" t="s">
        <v>21</v>
      </c>
      <c r="D441" t="s">
        <v>43</v>
      </c>
      <c r="E441" s="1">
        <v>45381</v>
      </c>
      <c r="F441" s="1">
        <v>45384</v>
      </c>
      <c r="G441">
        <v>61</v>
      </c>
      <c r="H441">
        <v>5.09</v>
      </c>
      <c r="I441">
        <v>7.74</v>
      </c>
      <c r="J441">
        <v>2.5</v>
      </c>
      <c r="K441">
        <v>0</v>
      </c>
      <c r="L441">
        <v>7.79</v>
      </c>
      <c r="M441" t="s">
        <v>44</v>
      </c>
      <c r="N441" t="s">
        <v>24</v>
      </c>
      <c r="O441">
        <v>61</v>
      </c>
      <c r="P441">
        <v>3</v>
      </c>
      <c r="Q441" t="s">
        <v>45</v>
      </c>
      <c r="R441" t="s">
        <v>46</v>
      </c>
      <c r="S441">
        <v>0</v>
      </c>
    </row>
    <row r="442" spans="1:19" x14ac:dyDescent="0.45">
      <c r="A442" t="s">
        <v>505</v>
      </c>
      <c r="B442" t="s">
        <v>28</v>
      </c>
      <c r="C442" t="s">
        <v>82</v>
      </c>
      <c r="D442" t="s">
        <v>78</v>
      </c>
      <c r="E442" s="1">
        <v>45372.958333333336</v>
      </c>
      <c r="F442" s="1">
        <v>45374.708333333336</v>
      </c>
      <c r="G442">
        <v>42</v>
      </c>
      <c r="H442">
        <v>4.99</v>
      </c>
      <c r="I442">
        <v>7.63</v>
      </c>
      <c r="J442">
        <v>2.58</v>
      </c>
      <c r="K442">
        <v>0</v>
      </c>
      <c r="L442">
        <v>71.84</v>
      </c>
      <c r="M442" t="s">
        <v>57</v>
      </c>
      <c r="N442" t="s">
        <v>24</v>
      </c>
      <c r="O442">
        <v>42</v>
      </c>
      <c r="P442">
        <v>3</v>
      </c>
      <c r="Q442" t="s">
        <v>45</v>
      </c>
      <c r="R442" t="s">
        <v>46</v>
      </c>
      <c r="S442">
        <v>0</v>
      </c>
    </row>
    <row r="443" spans="1:19" x14ac:dyDescent="0.45">
      <c r="A443" t="s">
        <v>506</v>
      </c>
      <c r="B443" t="s">
        <v>37</v>
      </c>
      <c r="C443" t="s">
        <v>53</v>
      </c>
      <c r="D443" t="s">
        <v>29</v>
      </c>
      <c r="E443" s="1">
        <v>45334.458333333336</v>
      </c>
      <c r="F443" s="1">
        <v>45336.791666666664</v>
      </c>
      <c r="G443">
        <v>56</v>
      </c>
      <c r="H443">
        <v>4.8</v>
      </c>
      <c r="I443">
        <v>7.79</v>
      </c>
      <c r="J443">
        <v>2.52</v>
      </c>
      <c r="K443">
        <v>0</v>
      </c>
      <c r="L443">
        <v>52.36</v>
      </c>
      <c r="M443" t="s">
        <v>75</v>
      </c>
      <c r="N443" t="s">
        <v>24</v>
      </c>
      <c r="O443">
        <v>56</v>
      </c>
      <c r="P443">
        <v>2</v>
      </c>
      <c r="Q443" t="s">
        <v>65</v>
      </c>
      <c r="R443" t="s">
        <v>26</v>
      </c>
      <c r="S443">
        <v>0</v>
      </c>
    </row>
    <row r="444" spans="1:19" x14ac:dyDescent="0.45">
      <c r="A444" t="s">
        <v>507</v>
      </c>
      <c r="B444" t="s">
        <v>48</v>
      </c>
      <c r="C444" t="s">
        <v>42</v>
      </c>
      <c r="D444" t="s">
        <v>78</v>
      </c>
      <c r="E444" s="1">
        <v>45369.125</v>
      </c>
      <c r="F444" s="1">
        <v>45370.541666666664</v>
      </c>
      <c r="G444">
        <v>34</v>
      </c>
      <c r="H444">
        <v>5.32</v>
      </c>
      <c r="I444">
        <v>7.74</v>
      </c>
      <c r="J444">
        <v>2.74</v>
      </c>
      <c r="K444">
        <v>0</v>
      </c>
      <c r="L444">
        <v>63.66</v>
      </c>
      <c r="M444" t="s">
        <v>44</v>
      </c>
      <c r="N444" t="s">
        <v>24</v>
      </c>
      <c r="O444">
        <v>34</v>
      </c>
      <c r="P444">
        <v>3</v>
      </c>
      <c r="Q444" t="s">
        <v>45</v>
      </c>
      <c r="R444" t="s">
        <v>46</v>
      </c>
      <c r="S444">
        <v>0</v>
      </c>
    </row>
    <row r="445" spans="1:19" x14ac:dyDescent="0.45">
      <c r="A445" t="s">
        <v>508</v>
      </c>
      <c r="B445" t="s">
        <v>48</v>
      </c>
      <c r="C445" t="s">
        <v>82</v>
      </c>
      <c r="D445" t="s">
        <v>29</v>
      </c>
      <c r="E445" s="1">
        <v>45619.541666666664</v>
      </c>
      <c r="F445" s="1">
        <v>45622.541666666664</v>
      </c>
      <c r="G445">
        <v>72</v>
      </c>
      <c r="H445">
        <v>5.03</v>
      </c>
      <c r="I445">
        <v>7.73</v>
      </c>
      <c r="J445">
        <v>2.52</v>
      </c>
      <c r="K445">
        <v>0</v>
      </c>
      <c r="L445">
        <v>7.58</v>
      </c>
      <c r="M445" t="s">
        <v>57</v>
      </c>
      <c r="N445" t="s">
        <v>24</v>
      </c>
      <c r="O445">
        <v>72</v>
      </c>
      <c r="P445">
        <v>11</v>
      </c>
      <c r="Q445" t="s">
        <v>89</v>
      </c>
      <c r="R445" t="s">
        <v>62</v>
      </c>
      <c r="S445">
        <v>0</v>
      </c>
    </row>
    <row r="446" spans="1:19" x14ac:dyDescent="0.45">
      <c r="A446" t="s">
        <v>509</v>
      </c>
      <c r="B446" t="s">
        <v>48</v>
      </c>
      <c r="C446" t="s">
        <v>34</v>
      </c>
      <c r="D446" t="s">
        <v>43</v>
      </c>
      <c r="E446" s="1">
        <v>45375</v>
      </c>
      <c r="F446" s="1">
        <v>45376</v>
      </c>
      <c r="G446">
        <v>13</v>
      </c>
      <c r="H446">
        <v>5.5</v>
      </c>
      <c r="I446">
        <v>7.19</v>
      </c>
      <c r="J446">
        <v>2.5299999999999998</v>
      </c>
      <c r="K446">
        <v>0</v>
      </c>
      <c r="L446">
        <v>40.590000000000003</v>
      </c>
      <c r="M446" t="s">
        <v>44</v>
      </c>
      <c r="N446" t="s">
        <v>24</v>
      </c>
      <c r="O446">
        <v>13</v>
      </c>
      <c r="P446">
        <v>3</v>
      </c>
      <c r="Q446" t="s">
        <v>45</v>
      </c>
      <c r="R446" t="s">
        <v>46</v>
      </c>
      <c r="S446">
        <v>0</v>
      </c>
    </row>
    <row r="447" spans="1:19" x14ac:dyDescent="0.45">
      <c r="A447" t="s">
        <v>510</v>
      </c>
      <c r="B447" t="s">
        <v>28</v>
      </c>
      <c r="C447" t="s">
        <v>53</v>
      </c>
      <c r="D447" t="s">
        <v>50</v>
      </c>
      <c r="E447" s="1">
        <v>45477.416666666664</v>
      </c>
      <c r="F447" s="1">
        <v>45478.5</v>
      </c>
      <c r="G447">
        <v>26</v>
      </c>
      <c r="H447">
        <v>5.24</v>
      </c>
      <c r="I447">
        <v>7.39</v>
      </c>
      <c r="J447">
        <v>2.74</v>
      </c>
      <c r="K447">
        <v>0</v>
      </c>
      <c r="L447">
        <v>42.08</v>
      </c>
      <c r="M447" t="s">
        <v>106</v>
      </c>
      <c r="N447" t="s">
        <v>24</v>
      </c>
      <c r="O447">
        <v>26</v>
      </c>
      <c r="P447">
        <v>7</v>
      </c>
      <c r="Q447" t="s">
        <v>31</v>
      </c>
      <c r="R447" t="s">
        <v>32</v>
      </c>
      <c r="S447">
        <v>0</v>
      </c>
    </row>
    <row r="448" spans="1:19" x14ac:dyDescent="0.45">
      <c r="A448" t="s">
        <v>511</v>
      </c>
      <c r="B448" t="s">
        <v>48</v>
      </c>
      <c r="C448" t="s">
        <v>21</v>
      </c>
      <c r="D448" t="s">
        <v>22</v>
      </c>
      <c r="E448" s="1">
        <v>45449.791666666664</v>
      </c>
      <c r="F448" s="1">
        <v>45450.375</v>
      </c>
      <c r="G448">
        <v>14</v>
      </c>
      <c r="H448">
        <v>5.09</v>
      </c>
      <c r="I448">
        <v>7.61</v>
      </c>
      <c r="J448">
        <v>2.5299999999999998</v>
      </c>
      <c r="K448">
        <v>0</v>
      </c>
      <c r="L448">
        <v>6.05</v>
      </c>
      <c r="M448" t="s">
        <v>23</v>
      </c>
      <c r="N448" t="s">
        <v>24</v>
      </c>
      <c r="O448">
        <v>14</v>
      </c>
      <c r="P448">
        <v>6</v>
      </c>
      <c r="Q448" t="s">
        <v>40</v>
      </c>
      <c r="R448" t="s">
        <v>32</v>
      </c>
      <c r="S448">
        <v>0</v>
      </c>
    </row>
    <row r="449" spans="1:19" x14ac:dyDescent="0.45">
      <c r="A449" t="s">
        <v>512</v>
      </c>
      <c r="B449" t="s">
        <v>28</v>
      </c>
      <c r="C449" t="s">
        <v>93</v>
      </c>
      <c r="D449" t="s">
        <v>78</v>
      </c>
      <c r="E449" s="1">
        <v>45473.208333333336</v>
      </c>
      <c r="F449" s="1">
        <v>45476.125</v>
      </c>
      <c r="G449">
        <v>70</v>
      </c>
      <c r="H449">
        <v>5.31</v>
      </c>
      <c r="I449">
        <v>7.79</v>
      </c>
      <c r="J449">
        <v>2.5</v>
      </c>
      <c r="K449">
        <v>0</v>
      </c>
      <c r="L449">
        <v>33.72</v>
      </c>
      <c r="M449" t="s">
        <v>23</v>
      </c>
      <c r="N449" t="s">
        <v>24</v>
      </c>
      <c r="O449">
        <v>70</v>
      </c>
      <c r="P449">
        <v>6</v>
      </c>
      <c r="Q449" t="s">
        <v>40</v>
      </c>
      <c r="R449" t="s">
        <v>32</v>
      </c>
      <c r="S449">
        <v>0</v>
      </c>
    </row>
    <row r="450" spans="1:19" x14ac:dyDescent="0.45">
      <c r="A450" t="s">
        <v>513</v>
      </c>
      <c r="B450" t="s">
        <v>52</v>
      </c>
      <c r="C450" t="s">
        <v>73</v>
      </c>
      <c r="D450" t="s">
        <v>22</v>
      </c>
      <c r="E450" s="1">
        <v>45334.666666666664</v>
      </c>
      <c r="F450" s="1">
        <v>45337.458333333336</v>
      </c>
      <c r="G450">
        <v>67</v>
      </c>
      <c r="H450">
        <v>4.8</v>
      </c>
      <c r="I450">
        <v>7.67</v>
      </c>
      <c r="J450">
        <v>2.56</v>
      </c>
      <c r="K450">
        <v>0</v>
      </c>
      <c r="L450">
        <v>5.53</v>
      </c>
      <c r="M450" t="s">
        <v>44</v>
      </c>
      <c r="N450" t="s">
        <v>24</v>
      </c>
      <c r="O450">
        <v>67</v>
      </c>
      <c r="P450">
        <v>2</v>
      </c>
      <c r="Q450" t="s">
        <v>65</v>
      </c>
      <c r="R450" t="s">
        <v>26</v>
      </c>
      <c r="S450">
        <v>0</v>
      </c>
    </row>
    <row r="451" spans="1:19" x14ac:dyDescent="0.45">
      <c r="A451" t="s">
        <v>514</v>
      </c>
      <c r="B451" t="s">
        <v>48</v>
      </c>
      <c r="C451" t="s">
        <v>38</v>
      </c>
      <c r="D451" t="s">
        <v>29</v>
      </c>
      <c r="E451" s="1">
        <v>45489</v>
      </c>
      <c r="F451" s="1">
        <v>45490</v>
      </c>
      <c r="G451">
        <v>38</v>
      </c>
      <c r="H451">
        <v>4.95</v>
      </c>
      <c r="I451">
        <v>7.7</v>
      </c>
      <c r="J451">
        <v>2.58</v>
      </c>
      <c r="K451">
        <v>0</v>
      </c>
      <c r="L451">
        <v>42.25</v>
      </c>
      <c r="M451" t="s">
        <v>30</v>
      </c>
      <c r="N451" t="s">
        <v>24</v>
      </c>
      <c r="O451">
        <v>38</v>
      </c>
      <c r="P451">
        <v>7</v>
      </c>
      <c r="Q451" t="s">
        <v>31</v>
      </c>
      <c r="R451" t="s">
        <v>32</v>
      </c>
      <c r="S451">
        <v>0</v>
      </c>
    </row>
    <row r="452" spans="1:19" x14ac:dyDescent="0.45">
      <c r="A452" t="s">
        <v>515</v>
      </c>
      <c r="B452" t="s">
        <v>52</v>
      </c>
      <c r="C452" t="s">
        <v>21</v>
      </c>
      <c r="D452" t="s">
        <v>78</v>
      </c>
      <c r="E452" s="1">
        <v>45314.166666666664</v>
      </c>
      <c r="F452" s="1">
        <v>45316.833333333336</v>
      </c>
      <c r="G452">
        <v>64</v>
      </c>
      <c r="H452">
        <v>5.31</v>
      </c>
      <c r="I452">
        <v>7.8</v>
      </c>
      <c r="J452">
        <v>2.57</v>
      </c>
      <c r="K452">
        <v>0</v>
      </c>
      <c r="L452">
        <v>69.959999999999994</v>
      </c>
      <c r="M452" t="s">
        <v>106</v>
      </c>
      <c r="N452" t="s">
        <v>24</v>
      </c>
      <c r="O452">
        <v>64</v>
      </c>
      <c r="P452">
        <v>1</v>
      </c>
      <c r="Q452" t="s">
        <v>25</v>
      </c>
      <c r="R452" t="s">
        <v>26</v>
      </c>
      <c r="S452">
        <v>0</v>
      </c>
    </row>
    <row r="453" spans="1:19" x14ac:dyDescent="0.45">
      <c r="A453" t="s">
        <v>516</v>
      </c>
      <c r="B453" t="s">
        <v>28</v>
      </c>
      <c r="C453" t="s">
        <v>82</v>
      </c>
      <c r="D453" t="s">
        <v>29</v>
      </c>
      <c r="E453" s="1">
        <v>45507.916666666664</v>
      </c>
      <c r="F453" s="1">
        <v>45510.666666666664</v>
      </c>
      <c r="G453">
        <v>66</v>
      </c>
      <c r="H453">
        <v>4.95</v>
      </c>
      <c r="I453">
        <v>7.72</v>
      </c>
      <c r="J453">
        <v>2.8</v>
      </c>
      <c r="K453">
        <v>0</v>
      </c>
      <c r="L453">
        <v>30.5</v>
      </c>
      <c r="M453" t="s">
        <v>106</v>
      </c>
      <c r="N453" t="s">
        <v>24</v>
      </c>
      <c r="O453">
        <v>66</v>
      </c>
      <c r="P453">
        <v>8</v>
      </c>
      <c r="Q453" t="s">
        <v>58</v>
      </c>
      <c r="R453" t="s">
        <v>32</v>
      </c>
      <c r="S453">
        <v>0</v>
      </c>
    </row>
    <row r="454" spans="1:19" x14ac:dyDescent="0.45">
      <c r="A454" t="s">
        <v>517</v>
      </c>
      <c r="B454" t="s">
        <v>37</v>
      </c>
      <c r="C454" t="s">
        <v>21</v>
      </c>
      <c r="D454" t="s">
        <v>78</v>
      </c>
      <c r="E454" s="1">
        <v>45552</v>
      </c>
      <c r="F454" s="1">
        <v>45553</v>
      </c>
      <c r="G454">
        <v>36</v>
      </c>
      <c r="H454">
        <v>5.48</v>
      </c>
      <c r="I454">
        <v>9.26</v>
      </c>
      <c r="J454">
        <v>2.87</v>
      </c>
      <c r="K454">
        <v>2</v>
      </c>
      <c r="L454">
        <v>61.36</v>
      </c>
      <c r="M454" t="s">
        <v>106</v>
      </c>
      <c r="N454" t="s">
        <v>109</v>
      </c>
      <c r="O454">
        <v>36</v>
      </c>
      <c r="P454">
        <v>9</v>
      </c>
      <c r="Q454" t="s">
        <v>76</v>
      </c>
      <c r="R454" t="s">
        <v>32</v>
      </c>
      <c r="S454">
        <v>0</v>
      </c>
    </row>
    <row r="455" spans="1:19" x14ac:dyDescent="0.45">
      <c r="A455" t="s">
        <v>518</v>
      </c>
      <c r="B455" t="s">
        <v>20</v>
      </c>
      <c r="C455" t="s">
        <v>93</v>
      </c>
      <c r="D455" t="s">
        <v>22</v>
      </c>
      <c r="E455" s="1">
        <v>45596</v>
      </c>
      <c r="F455" s="1">
        <v>45600</v>
      </c>
      <c r="G455">
        <v>96</v>
      </c>
      <c r="H455">
        <v>5.26</v>
      </c>
      <c r="I455">
        <v>7.7</v>
      </c>
      <c r="J455">
        <v>2.5499999999999998</v>
      </c>
      <c r="K455">
        <v>0</v>
      </c>
      <c r="L455">
        <v>13.11</v>
      </c>
      <c r="M455" t="s">
        <v>23</v>
      </c>
      <c r="N455" t="s">
        <v>24</v>
      </c>
      <c r="O455">
        <v>96</v>
      </c>
      <c r="P455">
        <v>10</v>
      </c>
      <c r="Q455" t="s">
        <v>61</v>
      </c>
      <c r="R455" t="s">
        <v>62</v>
      </c>
      <c r="S455">
        <v>0</v>
      </c>
    </row>
    <row r="456" spans="1:19" x14ac:dyDescent="0.45">
      <c r="A456" t="s">
        <v>519</v>
      </c>
      <c r="B456" t="s">
        <v>28</v>
      </c>
      <c r="C456" t="s">
        <v>42</v>
      </c>
      <c r="D456" t="s">
        <v>56</v>
      </c>
      <c r="E456" s="1">
        <v>45466</v>
      </c>
      <c r="F456" s="1">
        <v>45469</v>
      </c>
      <c r="G456">
        <v>67</v>
      </c>
      <c r="H456">
        <v>5.18</v>
      </c>
      <c r="I456">
        <v>7.75</v>
      </c>
      <c r="J456">
        <v>2.63</v>
      </c>
      <c r="K456">
        <v>0</v>
      </c>
      <c r="L456">
        <v>32.29</v>
      </c>
      <c r="M456" t="s">
        <v>57</v>
      </c>
      <c r="N456" t="s">
        <v>24</v>
      </c>
      <c r="O456">
        <v>67</v>
      </c>
      <c r="P456">
        <v>6</v>
      </c>
      <c r="Q456" t="s">
        <v>40</v>
      </c>
      <c r="R456" t="s">
        <v>32</v>
      </c>
      <c r="S456">
        <v>0</v>
      </c>
    </row>
    <row r="457" spans="1:19" x14ac:dyDescent="0.45">
      <c r="A457" t="s">
        <v>520</v>
      </c>
      <c r="B457" t="s">
        <v>37</v>
      </c>
      <c r="C457" t="s">
        <v>82</v>
      </c>
      <c r="D457" t="s">
        <v>56</v>
      </c>
      <c r="E457" s="1">
        <v>45565.875</v>
      </c>
      <c r="F457" s="1">
        <v>45567.333333333336</v>
      </c>
      <c r="G457">
        <v>35</v>
      </c>
      <c r="H457">
        <v>4.92</v>
      </c>
      <c r="I457">
        <v>7.44</v>
      </c>
      <c r="J457">
        <v>2.71</v>
      </c>
      <c r="K457">
        <v>0</v>
      </c>
      <c r="L457">
        <v>51.45</v>
      </c>
      <c r="M457" t="s">
        <v>57</v>
      </c>
      <c r="N457" t="s">
        <v>24</v>
      </c>
      <c r="O457">
        <v>35</v>
      </c>
      <c r="P457">
        <v>9</v>
      </c>
      <c r="Q457" t="s">
        <v>76</v>
      </c>
      <c r="R457" t="s">
        <v>32</v>
      </c>
      <c r="S457">
        <v>0</v>
      </c>
    </row>
    <row r="458" spans="1:19" x14ac:dyDescent="0.45">
      <c r="A458" t="s">
        <v>521</v>
      </c>
      <c r="B458" t="s">
        <v>37</v>
      </c>
      <c r="C458" t="s">
        <v>42</v>
      </c>
      <c r="D458" t="s">
        <v>29</v>
      </c>
      <c r="E458" s="1">
        <v>45415</v>
      </c>
      <c r="F458" s="1">
        <v>45416.041666666664</v>
      </c>
      <c r="G458">
        <v>25</v>
      </c>
      <c r="H458">
        <v>5.3</v>
      </c>
      <c r="I458">
        <v>7.73</v>
      </c>
      <c r="J458">
        <v>2.5099999999999998</v>
      </c>
      <c r="K458">
        <v>0</v>
      </c>
      <c r="L458">
        <v>49.59</v>
      </c>
      <c r="M458" t="s">
        <v>75</v>
      </c>
      <c r="N458" t="s">
        <v>24</v>
      </c>
      <c r="O458">
        <v>25</v>
      </c>
      <c r="P458">
        <v>5</v>
      </c>
      <c r="Q458" t="s">
        <v>67</v>
      </c>
      <c r="R458" t="s">
        <v>46</v>
      </c>
      <c r="S458">
        <v>0</v>
      </c>
    </row>
    <row r="459" spans="1:19" x14ac:dyDescent="0.45">
      <c r="A459" t="s">
        <v>522</v>
      </c>
      <c r="B459" t="s">
        <v>20</v>
      </c>
      <c r="C459" t="s">
        <v>93</v>
      </c>
      <c r="D459" t="s">
        <v>50</v>
      </c>
      <c r="E459" s="1">
        <v>45591</v>
      </c>
      <c r="F459" s="1">
        <v>45593</v>
      </c>
      <c r="G459">
        <v>48</v>
      </c>
      <c r="H459">
        <v>4.95</v>
      </c>
      <c r="I459">
        <v>7.66</v>
      </c>
      <c r="J459">
        <v>2.7</v>
      </c>
      <c r="K459">
        <v>0</v>
      </c>
      <c r="L459">
        <v>63.11</v>
      </c>
      <c r="M459" t="s">
        <v>35</v>
      </c>
      <c r="N459" t="s">
        <v>24</v>
      </c>
      <c r="O459">
        <v>48</v>
      </c>
      <c r="P459">
        <v>10</v>
      </c>
      <c r="Q459" t="s">
        <v>61</v>
      </c>
      <c r="R459" t="s">
        <v>62</v>
      </c>
      <c r="S459">
        <v>0</v>
      </c>
    </row>
    <row r="460" spans="1:19" x14ac:dyDescent="0.45">
      <c r="A460" t="s">
        <v>523</v>
      </c>
      <c r="B460" t="s">
        <v>48</v>
      </c>
      <c r="C460" t="s">
        <v>38</v>
      </c>
      <c r="D460" t="s">
        <v>78</v>
      </c>
      <c r="E460" s="1">
        <v>45545.5</v>
      </c>
      <c r="F460" s="1">
        <v>45546.875</v>
      </c>
      <c r="G460">
        <v>33</v>
      </c>
      <c r="H460">
        <v>6.37</v>
      </c>
      <c r="I460">
        <v>12.03</v>
      </c>
      <c r="J460">
        <v>2.5099999999999998</v>
      </c>
      <c r="K460">
        <v>8</v>
      </c>
      <c r="L460">
        <v>33</v>
      </c>
      <c r="M460" t="s">
        <v>23</v>
      </c>
      <c r="N460" t="s">
        <v>39</v>
      </c>
      <c r="O460">
        <v>33</v>
      </c>
      <c r="P460">
        <v>9</v>
      </c>
      <c r="Q460" t="s">
        <v>76</v>
      </c>
      <c r="R460" t="s">
        <v>32</v>
      </c>
      <c r="S460">
        <v>33</v>
      </c>
    </row>
    <row r="461" spans="1:19" x14ac:dyDescent="0.45">
      <c r="A461" t="s">
        <v>524</v>
      </c>
      <c r="B461" t="s">
        <v>20</v>
      </c>
      <c r="C461" t="s">
        <v>34</v>
      </c>
      <c r="D461" t="s">
        <v>50</v>
      </c>
      <c r="E461" s="1">
        <v>45326.25</v>
      </c>
      <c r="F461" s="1">
        <v>45328.291666666664</v>
      </c>
      <c r="G461">
        <v>49</v>
      </c>
      <c r="H461">
        <v>5.16</v>
      </c>
      <c r="I461">
        <v>7.65</v>
      </c>
      <c r="J461">
        <v>2.62</v>
      </c>
      <c r="K461">
        <v>0</v>
      </c>
      <c r="L461">
        <v>31.62</v>
      </c>
      <c r="M461" t="s">
        <v>57</v>
      </c>
      <c r="N461" t="s">
        <v>24</v>
      </c>
      <c r="O461">
        <v>49</v>
      </c>
      <c r="P461">
        <v>2</v>
      </c>
      <c r="Q461" t="s">
        <v>65</v>
      </c>
      <c r="R461" t="s">
        <v>26</v>
      </c>
      <c r="S461">
        <v>0</v>
      </c>
    </row>
    <row r="462" spans="1:19" x14ac:dyDescent="0.45">
      <c r="A462" t="s">
        <v>525</v>
      </c>
      <c r="B462" t="s">
        <v>48</v>
      </c>
      <c r="C462" t="s">
        <v>21</v>
      </c>
      <c r="D462" t="s">
        <v>22</v>
      </c>
      <c r="E462" s="1">
        <v>45327</v>
      </c>
      <c r="F462" s="1">
        <v>45331</v>
      </c>
      <c r="G462">
        <v>93</v>
      </c>
      <c r="H462">
        <v>5.03</v>
      </c>
      <c r="I462">
        <v>7.79</v>
      </c>
      <c r="J462">
        <v>2.5499999999999998</v>
      </c>
      <c r="K462">
        <v>0</v>
      </c>
      <c r="L462">
        <v>12.09</v>
      </c>
      <c r="M462" t="s">
        <v>30</v>
      </c>
      <c r="N462" t="s">
        <v>24</v>
      </c>
      <c r="O462">
        <v>93</v>
      </c>
      <c r="P462">
        <v>2</v>
      </c>
      <c r="Q462" t="s">
        <v>65</v>
      </c>
      <c r="R462" t="s">
        <v>26</v>
      </c>
      <c r="S462">
        <v>0</v>
      </c>
    </row>
    <row r="463" spans="1:19" x14ac:dyDescent="0.45">
      <c r="A463" t="s">
        <v>526</v>
      </c>
      <c r="B463" t="s">
        <v>28</v>
      </c>
      <c r="C463" t="s">
        <v>42</v>
      </c>
      <c r="D463" t="s">
        <v>50</v>
      </c>
      <c r="E463" s="1">
        <v>45312.666666666664</v>
      </c>
      <c r="F463" s="1">
        <v>45313.958333333336</v>
      </c>
      <c r="G463">
        <v>31</v>
      </c>
      <c r="H463">
        <v>5.01</v>
      </c>
      <c r="I463">
        <v>7.57</v>
      </c>
      <c r="J463">
        <v>2.63</v>
      </c>
      <c r="K463">
        <v>0</v>
      </c>
      <c r="L463">
        <v>13.83</v>
      </c>
      <c r="M463" t="s">
        <v>23</v>
      </c>
      <c r="N463" t="s">
        <v>24</v>
      </c>
      <c r="O463">
        <v>31</v>
      </c>
      <c r="P463">
        <v>1</v>
      </c>
      <c r="Q463" t="s">
        <v>25</v>
      </c>
      <c r="R463" t="s">
        <v>26</v>
      </c>
      <c r="S463">
        <v>0</v>
      </c>
    </row>
    <row r="464" spans="1:19" x14ac:dyDescent="0.45">
      <c r="A464" t="s">
        <v>527</v>
      </c>
      <c r="B464" t="s">
        <v>28</v>
      </c>
      <c r="C464" t="s">
        <v>82</v>
      </c>
      <c r="D464" t="s">
        <v>50</v>
      </c>
      <c r="E464" s="1">
        <v>45444</v>
      </c>
      <c r="F464" s="1">
        <v>45445</v>
      </c>
      <c r="G464">
        <v>21</v>
      </c>
      <c r="H464">
        <v>5.55</v>
      </c>
      <c r="I464">
        <v>7.43</v>
      </c>
      <c r="J464">
        <v>2.5099999999999998</v>
      </c>
      <c r="K464">
        <v>0</v>
      </c>
      <c r="L464">
        <v>23.26</v>
      </c>
      <c r="M464" t="s">
        <v>106</v>
      </c>
      <c r="N464" t="s">
        <v>24</v>
      </c>
      <c r="O464">
        <v>21</v>
      </c>
      <c r="P464">
        <v>6</v>
      </c>
      <c r="Q464" t="s">
        <v>40</v>
      </c>
      <c r="R464" t="s">
        <v>32</v>
      </c>
      <c r="S464">
        <v>0</v>
      </c>
    </row>
    <row r="465" spans="1:19" x14ac:dyDescent="0.45">
      <c r="A465" t="s">
        <v>528</v>
      </c>
      <c r="B465" t="s">
        <v>37</v>
      </c>
      <c r="C465" t="s">
        <v>73</v>
      </c>
      <c r="D465" t="s">
        <v>50</v>
      </c>
      <c r="E465" s="1">
        <v>45535</v>
      </c>
      <c r="F465" s="1">
        <v>45536</v>
      </c>
      <c r="G465">
        <v>36</v>
      </c>
      <c r="H465">
        <v>5.47</v>
      </c>
      <c r="I465">
        <v>7.65</v>
      </c>
      <c r="J465">
        <v>2.56</v>
      </c>
      <c r="K465">
        <v>0</v>
      </c>
      <c r="L465">
        <v>78.34</v>
      </c>
      <c r="M465" t="s">
        <v>44</v>
      </c>
      <c r="N465" t="s">
        <v>24</v>
      </c>
      <c r="O465">
        <v>36</v>
      </c>
      <c r="P465">
        <v>8</v>
      </c>
      <c r="Q465" t="s">
        <v>58</v>
      </c>
      <c r="R465" t="s">
        <v>32</v>
      </c>
      <c r="S465">
        <v>0</v>
      </c>
    </row>
    <row r="466" spans="1:19" x14ac:dyDescent="0.45">
      <c r="A466" t="s">
        <v>529</v>
      </c>
      <c r="B466" t="s">
        <v>48</v>
      </c>
      <c r="C466" t="s">
        <v>73</v>
      </c>
      <c r="D466" t="s">
        <v>50</v>
      </c>
      <c r="E466" s="1">
        <v>45606</v>
      </c>
      <c r="F466" s="1">
        <v>45607.125</v>
      </c>
      <c r="G466">
        <v>27</v>
      </c>
      <c r="H466">
        <v>5.18</v>
      </c>
      <c r="I466">
        <v>7.42</v>
      </c>
      <c r="J466">
        <v>2.79</v>
      </c>
      <c r="K466">
        <v>0</v>
      </c>
      <c r="L466">
        <v>18.079999999999998</v>
      </c>
      <c r="M466" t="s">
        <v>75</v>
      </c>
      <c r="N466" t="s">
        <v>24</v>
      </c>
      <c r="O466">
        <v>27</v>
      </c>
      <c r="P466">
        <v>11</v>
      </c>
      <c r="Q466" t="s">
        <v>89</v>
      </c>
      <c r="R466" t="s">
        <v>62</v>
      </c>
      <c r="S466">
        <v>0</v>
      </c>
    </row>
    <row r="467" spans="1:19" x14ac:dyDescent="0.45">
      <c r="A467" t="s">
        <v>530</v>
      </c>
      <c r="B467" t="s">
        <v>28</v>
      </c>
      <c r="C467" t="s">
        <v>21</v>
      </c>
      <c r="D467" t="s">
        <v>22</v>
      </c>
      <c r="E467" s="1">
        <v>45567.166666666664</v>
      </c>
      <c r="F467" s="1">
        <v>45568.708333333336</v>
      </c>
      <c r="G467">
        <v>37</v>
      </c>
      <c r="H467">
        <v>5.3</v>
      </c>
      <c r="I467">
        <v>7.75</v>
      </c>
      <c r="J467">
        <v>2.54</v>
      </c>
      <c r="K467">
        <v>0</v>
      </c>
      <c r="L467">
        <v>70.48</v>
      </c>
      <c r="M467" t="s">
        <v>106</v>
      </c>
      <c r="N467" t="s">
        <v>24</v>
      </c>
      <c r="O467">
        <v>37</v>
      </c>
      <c r="P467">
        <v>10</v>
      </c>
      <c r="Q467" t="s">
        <v>61</v>
      </c>
      <c r="R467" t="s">
        <v>62</v>
      </c>
      <c r="S467">
        <v>0</v>
      </c>
    </row>
    <row r="468" spans="1:19" x14ac:dyDescent="0.45">
      <c r="A468" t="s">
        <v>279</v>
      </c>
      <c r="B468" t="s">
        <v>48</v>
      </c>
      <c r="C468" t="s">
        <v>53</v>
      </c>
      <c r="D468" t="s">
        <v>22</v>
      </c>
      <c r="E468" s="1">
        <v>45439.041666666664</v>
      </c>
      <c r="F468" s="1">
        <v>45440.958333333336</v>
      </c>
      <c r="G468">
        <v>46</v>
      </c>
      <c r="H468">
        <v>4.82</v>
      </c>
      <c r="I468">
        <v>7.7</v>
      </c>
      <c r="J468">
        <v>2.57</v>
      </c>
      <c r="K468">
        <v>0</v>
      </c>
      <c r="L468">
        <v>6.05</v>
      </c>
      <c r="M468" t="s">
        <v>106</v>
      </c>
      <c r="N468" t="s">
        <v>24</v>
      </c>
      <c r="O468">
        <v>46</v>
      </c>
      <c r="P468">
        <v>5</v>
      </c>
      <c r="Q468" t="s">
        <v>67</v>
      </c>
      <c r="R468" t="s">
        <v>46</v>
      </c>
      <c r="S468">
        <v>0</v>
      </c>
    </row>
    <row r="469" spans="1:19" x14ac:dyDescent="0.45">
      <c r="A469" t="s">
        <v>531</v>
      </c>
      <c r="B469" t="s">
        <v>52</v>
      </c>
      <c r="C469" t="s">
        <v>53</v>
      </c>
      <c r="D469" t="s">
        <v>56</v>
      </c>
      <c r="E469" s="1">
        <v>45518</v>
      </c>
      <c r="F469" s="1">
        <v>45520</v>
      </c>
      <c r="G469">
        <v>60</v>
      </c>
      <c r="H469">
        <v>5.57</v>
      </c>
      <c r="I469">
        <v>7.79</v>
      </c>
      <c r="J469">
        <v>2.58</v>
      </c>
      <c r="K469">
        <v>0</v>
      </c>
      <c r="L469">
        <v>26.59</v>
      </c>
      <c r="M469" t="s">
        <v>57</v>
      </c>
      <c r="N469" t="s">
        <v>24</v>
      </c>
      <c r="O469">
        <v>60</v>
      </c>
      <c r="P469">
        <v>8</v>
      </c>
      <c r="Q469" t="s">
        <v>58</v>
      </c>
      <c r="R469" t="s">
        <v>32</v>
      </c>
      <c r="S469">
        <v>0</v>
      </c>
    </row>
    <row r="470" spans="1:19" x14ac:dyDescent="0.45">
      <c r="A470" t="s">
        <v>532</v>
      </c>
      <c r="B470" t="s">
        <v>28</v>
      </c>
      <c r="C470" t="s">
        <v>42</v>
      </c>
      <c r="D470" t="s">
        <v>50</v>
      </c>
      <c r="E470" s="1">
        <v>45329.541666666664</v>
      </c>
      <c r="F470" s="1">
        <v>45330.416666666664</v>
      </c>
      <c r="G470">
        <v>21</v>
      </c>
      <c r="H470">
        <v>6.1</v>
      </c>
      <c r="I470">
        <v>7.74</v>
      </c>
      <c r="J470">
        <v>2.83</v>
      </c>
      <c r="K470">
        <v>0</v>
      </c>
      <c r="L470">
        <v>68.459999999999994</v>
      </c>
      <c r="M470" t="s">
        <v>23</v>
      </c>
      <c r="N470" t="s">
        <v>24</v>
      </c>
      <c r="O470">
        <v>21</v>
      </c>
      <c r="P470">
        <v>2</v>
      </c>
      <c r="Q470" t="s">
        <v>65</v>
      </c>
      <c r="R470" t="s">
        <v>26</v>
      </c>
      <c r="S470">
        <v>0</v>
      </c>
    </row>
    <row r="471" spans="1:19" x14ac:dyDescent="0.45">
      <c r="A471" t="s">
        <v>533</v>
      </c>
      <c r="B471" t="s">
        <v>20</v>
      </c>
      <c r="C471" t="s">
        <v>34</v>
      </c>
      <c r="D471" t="s">
        <v>78</v>
      </c>
      <c r="E471" s="1">
        <v>45475</v>
      </c>
      <c r="F471" s="1">
        <v>45476</v>
      </c>
      <c r="G471">
        <v>30</v>
      </c>
      <c r="H471">
        <v>4.9000000000000004</v>
      </c>
      <c r="I471">
        <v>7.62</v>
      </c>
      <c r="J471">
        <v>2.76</v>
      </c>
      <c r="K471">
        <v>0</v>
      </c>
      <c r="L471">
        <v>34.5</v>
      </c>
      <c r="M471" t="s">
        <v>79</v>
      </c>
      <c r="N471" t="s">
        <v>24</v>
      </c>
      <c r="O471">
        <v>30</v>
      </c>
      <c r="P471">
        <v>7</v>
      </c>
      <c r="Q471" t="s">
        <v>31</v>
      </c>
      <c r="R471" t="s">
        <v>32</v>
      </c>
      <c r="S471">
        <v>0</v>
      </c>
    </row>
    <row r="472" spans="1:19" x14ac:dyDescent="0.45">
      <c r="A472" t="s">
        <v>534</v>
      </c>
      <c r="B472" t="s">
        <v>20</v>
      </c>
      <c r="C472" t="s">
        <v>53</v>
      </c>
      <c r="D472" t="s">
        <v>78</v>
      </c>
      <c r="E472" s="1">
        <v>45655</v>
      </c>
      <c r="F472" s="1">
        <v>45656</v>
      </c>
      <c r="G472">
        <v>22</v>
      </c>
      <c r="H472">
        <v>5.04</v>
      </c>
      <c r="I472">
        <v>9.49</v>
      </c>
      <c r="J472">
        <v>2.52</v>
      </c>
      <c r="K472">
        <v>2</v>
      </c>
      <c r="L472">
        <v>48.65</v>
      </c>
      <c r="M472" t="s">
        <v>106</v>
      </c>
      <c r="N472" t="s">
        <v>109</v>
      </c>
      <c r="O472">
        <v>22</v>
      </c>
      <c r="P472">
        <v>12</v>
      </c>
      <c r="Q472" t="s">
        <v>54</v>
      </c>
      <c r="R472" t="s">
        <v>26</v>
      </c>
      <c r="S472">
        <v>0</v>
      </c>
    </row>
    <row r="473" spans="1:19" x14ac:dyDescent="0.45">
      <c r="A473" t="s">
        <v>535</v>
      </c>
      <c r="B473" t="s">
        <v>28</v>
      </c>
      <c r="C473" t="s">
        <v>34</v>
      </c>
      <c r="D473" t="s">
        <v>29</v>
      </c>
      <c r="E473" s="1">
        <v>45597</v>
      </c>
      <c r="F473" s="1">
        <v>45598</v>
      </c>
      <c r="G473">
        <v>13</v>
      </c>
      <c r="H473">
        <v>9.52</v>
      </c>
      <c r="I473">
        <v>12.3</v>
      </c>
      <c r="J473">
        <v>4.4800000000000004</v>
      </c>
      <c r="K473">
        <v>9</v>
      </c>
      <c r="L473">
        <v>55.77</v>
      </c>
      <c r="M473" t="s">
        <v>44</v>
      </c>
      <c r="N473" t="s">
        <v>39</v>
      </c>
      <c r="O473">
        <v>13</v>
      </c>
      <c r="P473">
        <v>11</v>
      </c>
      <c r="Q473" t="s">
        <v>89</v>
      </c>
      <c r="R473" t="s">
        <v>62</v>
      </c>
      <c r="S473">
        <v>55.77</v>
      </c>
    </row>
    <row r="474" spans="1:19" x14ac:dyDescent="0.45">
      <c r="A474" t="s">
        <v>536</v>
      </c>
      <c r="B474" t="s">
        <v>52</v>
      </c>
      <c r="C474" t="s">
        <v>53</v>
      </c>
      <c r="D474" t="s">
        <v>43</v>
      </c>
      <c r="E474" s="1">
        <v>45379.208333333336</v>
      </c>
      <c r="F474" s="1">
        <v>45382.958333333336</v>
      </c>
      <c r="G474">
        <v>90</v>
      </c>
      <c r="H474">
        <v>5.37</v>
      </c>
      <c r="I474">
        <v>7.72</v>
      </c>
      <c r="J474">
        <v>2.54</v>
      </c>
      <c r="K474">
        <v>0</v>
      </c>
      <c r="L474">
        <v>54.69</v>
      </c>
      <c r="M474" t="s">
        <v>79</v>
      </c>
      <c r="N474" t="s">
        <v>24</v>
      </c>
      <c r="O474">
        <v>90</v>
      </c>
      <c r="P474">
        <v>3</v>
      </c>
      <c r="Q474" t="s">
        <v>45</v>
      </c>
      <c r="R474" t="s">
        <v>46</v>
      </c>
      <c r="S474">
        <v>0</v>
      </c>
    </row>
    <row r="475" spans="1:19" x14ac:dyDescent="0.45">
      <c r="A475" t="s">
        <v>537</v>
      </c>
      <c r="B475" t="s">
        <v>28</v>
      </c>
      <c r="C475" t="s">
        <v>34</v>
      </c>
      <c r="D475" t="s">
        <v>29</v>
      </c>
      <c r="E475" s="1">
        <v>45489.083333333336</v>
      </c>
      <c r="F475" s="1">
        <v>45491.791666666664</v>
      </c>
      <c r="G475">
        <v>65</v>
      </c>
      <c r="H475">
        <v>5.09</v>
      </c>
      <c r="I475">
        <v>7.76</v>
      </c>
      <c r="J475">
        <v>2.5299999999999998</v>
      </c>
      <c r="K475">
        <v>0</v>
      </c>
      <c r="L475">
        <v>76.819999999999993</v>
      </c>
      <c r="M475" t="s">
        <v>43</v>
      </c>
      <c r="N475" t="s">
        <v>24</v>
      </c>
      <c r="O475">
        <v>65</v>
      </c>
      <c r="P475">
        <v>7</v>
      </c>
      <c r="Q475" t="s">
        <v>31</v>
      </c>
      <c r="R475" t="s">
        <v>32</v>
      </c>
      <c r="S475">
        <v>0</v>
      </c>
    </row>
    <row r="476" spans="1:19" x14ac:dyDescent="0.45">
      <c r="A476" t="s">
        <v>538</v>
      </c>
      <c r="B476" t="s">
        <v>28</v>
      </c>
      <c r="C476" t="s">
        <v>73</v>
      </c>
      <c r="D476" t="s">
        <v>22</v>
      </c>
      <c r="E476" s="1">
        <v>45379</v>
      </c>
      <c r="F476" s="1">
        <v>45382</v>
      </c>
      <c r="G476">
        <v>78</v>
      </c>
      <c r="H476">
        <v>5.0199999999999996</v>
      </c>
      <c r="I476">
        <v>7.8</v>
      </c>
      <c r="J476">
        <v>2.59</v>
      </c>
      <c r="K476">
        <v>0</v>
      </c>
      <c r="L476">
        <v>45.97</v>
      </c>
      <c r="M476" t="s">
        <v>23</v>
      </c>
      <c r="N476" t="s">
        <v>24</v>
      </c>
      <c r="O476">
        <v>78</v>
      </c>
      <c r="P476">
        <v>3</v>
      </c>
      <c r="Q476" t="s">
        <v>45</v>
      </c>
      <c r="R476" t="s">
        <v>46</v>
      </c>
      <c r="S476">
        <v>0</v>
      </c>
    </row>
    <row r="477" spans="1:19" x14ac:dyDescent="0.45">
      <c r="A477" t="s">
        <v>539</v>
      </c>
      <c r="B477" t="s">
        <v>37</v>
      </c>
      <c r="C477" t="s">
        <v>34</v>
      </c>
      <c r="D477" t="s">
        <v>43</v>
      </c>
      <c r="E477" s="1">
        <v>45455.208333333336</v>
      </c>
      <c r="F477" s="1">
        <v>45457.833333333336</v>
      </c>
      <c r="G477">
        <v>63</v>
      </c>
      <c r="H477">
        <v>5.0199999999999996</v>
      </c>
      <c r="I477">
        <v>7.71</v>
      </c>
      <c r="J477">
        <v>2.66</v>
      </c>
      <c r="K477">
        <v>0</v>
      </c>
      <c r="L477">
        <v>61.65</v>
      </c>
      <c r="M477" t="s">
        <v>79</v>
      </c>
      <c r="N477" t="s">
        <v>24</v>
      </c>
      <c r="O477">
        <v>63</v>
      </c>
      <c r="P477">
        <v>6</v>
      </c>
      <c r="Q477" t="s">
        <v>40</v>
      </c>
      <c r="R477" t="s">
        <v>32</v>
      </c>
      <c r="S477">
        <v>0</v>
      </c>
    </row>
    <row r="478" spans="1:19" x14ac:dyDescent="0.45">
      <c r="A478" t="s">
        <v>540</v>
      </c>
      <c r="B478" t="s">
        <v>20</v>
      </c>
      <c r="C478" t="s">
        <v>93</v>
      </c>
      <c r="D478" t="s">
        <v>78</v>
      </c>
      <c r="E478" s="1">
        <v>45578</v>
      </c>
      <c r="F478" s="1">
        <v>45580</v>
      </c>
      <c r="G478">
        <v>38</v>
      </c>
      <c r="H478">
        <v>4.96</v>
      </c>
      <c r="I478">
        <v>7.6</v>
      </c>
      <c r="J478">
        <v>2.5099999999999998</v>
      </c>
      <c r="K478">
        <v>0</v>
      </c>
      <c r="L478">
        <v>66.680000000000007</v>
      </c>
      <c r="M478" t="s">
        <v>35</v>
      </c>
      <c r="N478" t="s">
        <v>24</v>
      </c>
      <c r="O478">
        <v>38</v>
      </c>
      <c r="P478">
        <v>10</v>
      </c>
      <c r="Q478" t="s">
        <v>61</v>
      </c>
      <c r="R478" t="s">
        <v>62</v>
      </c>
      <c r="S478">
        <v>0</v>
      </c>
    </row>
    <row r="479" spans="1:19" x14ac:dyDescent="0.45">
      <c r="A479" t="s">
        <v>541</v>
      </c>
      <c r="B479" t="s">
        <v>20</v>
      </c>
      <c r="C479" t="s">
        <v>53</v>
      </c>
      <c r="D479" t="s">
        <v>56</v>
      </c>
      <c r="E479" s="1">
        <v>45402</v>
      </c>
      <c r="F479" s="1">
        <v>45403</v>
      </c>
      <c r="G479">
        <v>28</v>
      </c>
      <c r="H479">
        <v>4.9400000000000004</v>
      </c>
      <c r="I479">
        <v>7.52</v>
      </c>
      <c r="J479">
        <v>2.59</v>
      </c>
      <c r="K479">
        <v>0</v>
      </c>
      <c r="L479">
        <v>8.5</v>
      </c>
      <c r="M479" t="s">
        <v>30</v>
      </c>
      <c r="N479" t="s">
        <v>24</v>
      </c>
      <c r="O479">
        <v>28</v>
      </c>
      <c r="P479">
        <v>4</v>
      </c>
      <c r="Q479" t="s">
        <v>69</v>
      </c>
      <c r="R479" t="s">
        <v>46</v>
      </c>
      <c r="S479">
        <v>0</v>
      </c>
    </row>
    <row r="480" spans="1:19" x14ac:dyDescent="0.45">
      <c r="A480" t="s">
        <v>542</v>
      </c>
      <c r="B480" t="s">
        <v>37</v>
      </c>
      <c r="C480" t="s">
        <v>82</v>
      </c>
      <c r="D480" t="s">
        <v>22</v>
      </c>
      <c r="E480" s="1">
        <v>45629</v>
      </c>
      <c r="F480" s="1">
        <v>45633</v>
      </c>
      <c r="G480">
        <v>94</v>
      </c>
      <c r="H480">
        <v>4.92</v>
      </c>
      <c r="I480">
        <v>7.75</v>
      </c>
      <c r="J480">
        <v>2.5299999999999998</v>
      </c>
      <c r="K480">
        <v>0</v>
      </c>
      <c r="L480">
        <v>56.35</v>
      </c>
      <c r="M480" t="s">
        <v>106</v>
      </c>
      <c r="N480" t="s">
        <v>24</v>
      </c>
      <c r="O480">
        <v>94</v>
      </c>
      <c r="P480">
        <v>12</v>
      </c>
      <c r="Q480" t="s">
        <v>54</v>
      </c>
      <c r="R480" t="s">
        <v>26</v>
      </c>
      <c r="S480">
        <v>0</v>
      </c>
    </row>
    <row r="481" spans="1:19" x14ac:dyDescent="0.45">
      <c r="A481" t="s">
        <v>543</v>
      </c>
      <c r="B481" t="s">
        <v>48</v>
      </c>
      <c r="C481" t="s">
        <v>42</v>
      </c>
      <c r="D481" t="s">
        <v>78</v>
      </c>
      <c r="E481" s="1">
        <v>45431.25</v>
      </c>
      <c r="F481" s="1">
        <v>45432.916666666664</v>
      </c>
      <c r="G481">
        <v>40</v>
      </c>
      <c r="H481">
        <v>4.76</v>
      </c>
      <c r="I481">
        <v>7.52</v>
      </c>
      <c r="J481">
        <v>2.6</v>
      </c>
      <c r="K481">
        <v>0</v>
      </c>
      <c r="L481">
        <v>67.900000000000006</v>
      </c>
      <c r="M481" t="s">
        <v>57</v>
      </c>
      <c r="N481" t="s">
        <v>24</v>
      </c>
      <c r="O481">
        <v>40</v>
      </c>
      <c r="P481">
        <v>5</v>
      </c>
      <c r="Q481" t="s">
        <v>67</v>
      </c>
      <c r="R481" t="s">
        <v>46</v>
      </c>
      <c r="S481">
        <v>0</v>
      </c>
    </row>
    <row r="482" spans="1:19" x14ac:dyDescent="0.45">
      <c r="A482" t="s">
        <v>544</v>
      </c>
      <c r="B482" t="s">
        <v>37</v>
      </c>
      <c r="C482" t="s">
        <v>53</v>
      </c>
      <c r="D482" t="s">
        <v>78</v>
      </c>
      <c r="E482" s="1">
        <v>45567</v>
      </c>
      <c r="F482" s="1">
        <v>45569</v>
      </c>
      <c r="G482">
        <v>36</v>
      </c>
      <c r="H482">
        <v>6.18</v>
      </c>
      <c r="I482">
        <v>12.32</v>
      </c>
      <c r="J482">
        <v>2.5099999999999998</v>
      </c>
      <c r="K482">
        <v>7</v>
      </c>
      <c r="L482">
        <v>5.15</v>
      </c>
      <c r="M482" t="s">
        <v>75</v>
      </c>
      <c r="N482" t="s">
        <v>39</v>
      </c>
      <c r="O482">
        <v>36</v>
      </c>
      <c r="P482">
        <v>10</v>
      </c>
      <c r="Q482" t="s">
        <v>61</v>
      </c>
      <c r="R482" t="s">
        <v>62</v>
      </c>
      <c r="S482">
        <v>5.15</v>
      </c>
    </row>
    <row r="483" spans="1:19" x14ac:dyDescent="0.45">
      <c r="A483" t="s">
        <v>545</v>
      </c>
      <c r="B483" t="s">
        <v>37</v>
      </c>
      <c r="C483" t="s">
        <v>38</v>
      </c>
      <c r="D483" t="s">
        <v>29</v>
      </c>
      <c r="E483" s="1">
        <v>45433.458333333336</v>
      </c>
      <c r="F483" s="1">
        <v>45436.125</v>
      </c>
      <c r="G483">
        <v>64</v>
      </c>
      <c r="H483">
        <v>5.81</v>
      </c>
      <c r="I483">
        <v>12.46</v>
      </c>
      <c r="J483">
        <v>2.65</v>
      </c>
      <c r="K483">
        <v>6</v>
      </c>
      <c r="L483">
        <v>77.66</v>
      </c>
      <c r="M483" t="s">
        <v>43</v>
      </c>
      <c r="N483" t="s">
        <v>39</v>
      </c>
      <c r="O483">
        <v>64</v>
      </c>
      <c r="P483">
        <v>5</v>
      </c>
      <c r="Q483" t="s">
        <v>67</v>
      </c>
      <c r="R483" t="s">
        <v>46</v>
      </c>
      <c r="S483">
        <v>77.66</v>
      </c>
    </row>
    <row r="484" spans="1:19" x14ac:dyDescent="0.45">
      <c r="A484" t="s">
        <v>546</v>
      </c>
      <c r="B484" t="s">
        <v>20</v>
      </c>
      <c r="C484" t="s">
        <v>53</v>
      </c>
      <c r="D484" t="s">
        <v>78</v>
      </c>
      <c r="E484" s="1">
        <v>45628.083333333336</v>
      </c>
      <c r="F484" s="1">
        <v>45630.041666666664</v>
      </c>
      <c r="G484">
        <v>47</v>
      </c>
      <c r="H484">
        <v>5.19</v>
      </c>
      <c r="I484">
        <v>7.71</v>
      </c>
      <c r="J484">
        <v>2.62</v>
      </c>
      <c r="K484">
        <v>0</v>
      </c>
      <c r="L484">
        <v>58.24</v>
      </c>
      <c r="M484" t="s">
        <v>43</v>
      </c>
      <c r="N484" t="s">
        <v>24</v>
      </c>
      <c r="O484">
        <v>47</v>
      </c>
      <c r="P484">
        <v>12</v>
      </c>
      <c r="Q484" t="s">
        <v>54</v>
      </c>
      <c r="R484" t="s">
        <v>26</v>
      </c>
      <c r="S484">
        <v>0</v>
      </c>
    </row>
    <row r="485" spans="1:19" x14ac:dyDescent="0.45">
      <c r="A485" t="s">
        <v>547</v>
      </c>
      <c r="B485" t="s">
        <v>28</v>
      </c>
      <c r="C485" t="s">
        <v>34</v>
      </c>
      <c r="D485" t="s">
        <v>29</v>
      </c>
      <c r="E485" s="1">
        <v>45456.416666666664</v>
      </c>
      <c r="F485" s="1">
        <v>45459.583333333336</v>
      </c>
      <c r="G485">
        <v>76</v>
      </c>
      <c r="H485">
        <v>5.76</v>
      </c>
      <c r="I485">
        <v>11.92</v>
      </c>
      <c r="J485">
        <v>2.5099999999999998</v>
      </c>
      <c r="K485">
        <v>6</v>
      </c>
      <c r="L485">
        <v>18.97</v>
      </c>
      <c r="M485" t="s">
        <v>106</v>
      </c>
      <c r="N485" t="s">
        <v>39</v>
      </c>
      <c r="O485">
        <v>76</v>
      </c>
      <c r="P485">
        <v>6</v>
      </c>
      <c r="Q485" t="s">
        <v>40</v>
      </c>
      <c r="R485" t="s">
        <v>32</v>
      </c>
      <c r="S485">
        <v>18.97</v>
      </c>
    </row>
    <row r="486" spans="1:19" x14ac:dyDescent="0.45">
      <c r="A486" t="s">
        <v>548</v>
      </c>
      <c r="B486" t="s">
        <v>52</v>
      </c>
      <c r="C486" t="s">
        <v>73</v>
      </c>
      <c r="D486" t="s">
        <v>22</v>
      </c>
      <c r="E486" s="1">
        <v>45326.75</v>
      </c>
      <c r="F486" s="1">
        <v>45327.916666666664</v>
      </c>
      <c r="G486">
        <v>28</v>
      </c>
      <c r="H486">
        <v>5.09</v>
      </c>
      <c r="I486">
        <v>6.9</v>
      </c>
      <c r="J486">
        <v>2.5499999999999998</v>
      </c>
      <c r="K486">
        <v>0</v>
      </c>
      <c r="L486">
        <v>11.11</v>
      </c>
      <c r="M486" t="s">
        <v>44</v>
      </c>
      <c r="N486" t="s">
        <v>24</v>
      </c>
      <c r="O486">
        <v>28</v>
      </c>
      <c r="P486">
        <v>2</v>
      </c>
      <c r="Q486" t="s">
        <v>65</v>
      </c>
      <c r="R486" t="s">
        <v>26</v>
      </c>
      <c r="S48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F98F8-8FC3-4A69-BF54-09762305834E}">
  <dimension ref="A1:G6"/>
  <sheetViews>
    <sheetView zoomScale="87" workbookViewId="0">
      <selection activeCell="F1" sqref="F1"/>
    </sheetView>
  </sheetViews>
  <sheetFormatPr defaultRowHeight="14.25" x14ac:dyDescent="0.45"/>
  <cols>
    <col min="1" max="1" width="15.73046875" bestFit="1" customWidth="1"/>
    <col min="2" max="2" width="13.796875" bestFit="1" customWidth="1"/>
    <col min="3" max="3" width="12" customWidth="1"/>
    <col min="4" max="4" width="10.59765625" bestFit="1" customWidth="1"/>
    <col min="5" max="5" width="16.73046875" bestFit="1" customWidth="1"/>
    <col min="6" max="6" width="14.46484375" bestFit="1" customWidth="1"/>
    <col min="7" max="7" width="16.06640625" bestFit="1" customWidth="1"/>
  </cols>
  <sheetData>
    <row r="1" spans="1:7" x14ac:dyDescent="0.45">
      <c r="A1" s="2" t="s">
        <v>549</v>
      </c>
      <c r="B1" s="2" t="s">
        <v>550</v>
      </c>
      <c r="C1" s="2" t="s">
        <v>551</v>
      </c>
      <c r="D1" s="3" t="s">
        <v>552</v>
      </c>
      <c r="E1" s="2" t="s">
        <v>554</v>
      </c>
      <c r="F1" s="2" t="s">
        <v>553</v>
      </c>
      <c r="G1" s="2" t="s">
        <v>567</v>
      </c>
    </row>
    <row r="2" spans="1:7" x14ac:dyDescent="0.45">
      <c r="A2" t="s">
        <v>78</v>
      </c>
      <c r="B2" cm="1">
        <f t="array" ref="B2:B6">COUNTIF('raw data'!D2:D486,'lookup vendor'!A2:A6)</f>
        <v>106</v>
      </c>
      <c r="C2" cm="1">
        <f t="array" ref="C2:C6">COUNTIFS('raw data'!D2:D486,'lookup vendor'!A2:A6,'raw data'!N2:N486,"Non-Compliant")</f>
        <v>25</v>
      </c>
      <c r="D2" s="4">
        <f>C2/B2</f>
        <v>0.23584905660377359</v>
      </c>
      <c r="E2" cm="1">
        <f t="array" ref="E2:E6">SUMIF('raw data'!D2:D486,'lookup vendor'!A2:A6,'raw data'!S2:S486)</f>
        <v>1082.3800000000003</v>
      </c>
      <c r="F2" cm="1">
        <f t="array" ref="F2:F6">AVERAGEIF('raw data'!D2:D486,'lookup vendor'!A2:A6,'raw data'!L2:L486)</f>
        <v>44.784811320754713</v>
      </c>
      <c r="G2" cm="1">
        <f t="array" ref="G2:G6">AVERAGEIF('raw data'!D2:D486,'lookup vendor'!A2:A6,'raw data'!G2:G486)</f>
        <v>57</v>
      </c>
    </row>
    <row r="3" spans="1:7" x14ac:dyDescent="0.45">
      <c r="A3" t="s">
        <v>29</v>
      </c>
      <c r="B3">
        <v>83</v>
      </c>
      <c r="C3">
        <v>12</v>
      </c>
      <c r="D3" s="4">
        <f t="shared" ref="D3:D6" si="0">C3/B3</f>
        <v>0.14457831325301204</v>
      </c>
      <c r="E3">
        <v>646.31000000000006</v>
      </c>
      <c r="F3">
        <v>43.894939759036156</v>
      </c>
      <c r="G3">
        <v>52.650602409638552</v>
      </c>
    </row>
    <row r="4" spans="1:7" x14ac:dyDescent="0.45">
      <c r="A4" t="s">
        <v>50</v>
      </c>
      <c r="B4">
        <v>90</v>
      </c>
      <c r="C4">
        <v>10</v>
      </c>
      <c r="D4" s="4">
        <f t="shared" si="0"/>
        <v>0.1111111111111111</v>
      </c>
      <c r="E4">
        <v>358.66</v>
      </c>
      <c r="F4">
        <v>43.06666666666667</v>
      </c>
      <c r="G4">
        <v>51.244444444444447</v>
      </c>
    </row>
    <row r="5" spans="1:7" x14ac:dyDescent="0.45">
      <c r="A5" t="s">
        <v>22</v>
      </c>
      <c r="B5">
        <v>79</v>
      </c>
      <c r="C5">
        <v>4</v>
      </c>
      <c r="D5" s="4">
        <f t="shared" si="0"/>
        <v>5.0632911392405063E-2</v>
      </c>
      <c r="E5">
        <v>181.48000000000002</v>
      </c>
      <c r="F5">
        <v>40.926582278481042</v>
      </c>
      <c r="G5">
        <v>62.822784810126585</v>
      </c>
    </row>
    <row r="6" spans="1:7" x14ac:dyDescent="0.45">
      <c r="A6" t="s">
        <v>56</v>
      </c>
      <c r="B6">
        <v>104</v>
      </c>
      <c r="C6">
        <v>5</v>
      </c>
      <c r="D6" s="4">
        <f t="shared" si="0"/>
        <v>4.807692307692308E-2</v>
      </c>
      <c r="E6">
        <v>263.2</v>
      </c>
      <c r="F6">
        <v>43.623365384615404</v>
      </c>
      <c r="G6">
        <v>52.25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9F577-CCAC-439C-B875-0D82A7D7143D}">
  <dimension ref="A1:E23"/>
  <sheetViews>
    <sheetView workbookViewId="0">
      <selection activeCell="E2" sqref="E2"/>
    </sheetView>
  </sheetViews>
  <sheetFormatPr defaultRowHeight="14.25" x14ac:dyDescent="0.45"/>
  <cols>
    <col min="1" max="1" width="16.53125" bestFit="1" customWidth="1"/>
    <col min="2" max="2" width="14.46484375" bestFit="1" customWidth="1"/>
    <col min="3" max="3" width="12" bestFit="1" customWidth="1"/>
    <col min="4" max="4" width="13.19921875" bestFit="1" customWidth="1"/>
    <col min="5" max="5" width="17.46484375" bestFit="1" customWidth="1"/>
  </cols>
  <sheetData>
    <row r="1" spans="1:5" ht="21.4" customHeight="1" x14ac:dyDescent="0.45">
      <c r="A1" s="5" t="s">
        <v>2</v>
      </c>
      <c r="B1" s="5" t="s">
        <v>555</v>
      </c>
      <c r="C1" s="5" t="s">
        <v>551</v>
      </c>
      <c r="D1" s="5" t="s">
        <v>556</v>
      </c>
      <c r="E1" s="5" t="s">
        <v>557</v>
      </c>
    </row>
    <row r="2" spans="1:5" x14ac:dyDescent="0.45">
      <c r="A2" t="s">
        <v>34</v>
      </c>
      <c r="B2" cm="1">
        <f t="array" ref="B2:B9">COUNTIF('raw data'!C2:C486,'lookup route'!A2:A9)</f>
        <v>62</v>
      </c>
      <c r="C2" cm="1">
        <f t="array" ref="C2:C9">COUNTIFS('raw data'!C2:C486,'lookup route'!A2:A9,'raw data'!N2:N486,"Non-Compliant")</f>
        <v>12</v>
      </c>
      <c r="D2" s="4">
        <f>C2/B2</f>
        <v>0.19354838709677419</v>
      </c>
      <c r="E2" cm="1">
        <f t="array" ref="E2:E9">SUMIF('raw data'!C2:C486,'lookup route'!A2:A9,'raw data'!S2:S486)</f>
        <v>559.81000000000006</v>
      </c>
    </row>
    <row r="3" spans="1:5" x14ac:dyDescent="0.45">
      <c r="A3" t="s">
        <v>38</v>
      </c>
      <c r="B3">
        <v>59</v>
      </c>
      <c r="C3">
        <v>10</v>
      </c>
      <c r="D3" s="4">
        <f t="shared" ref="D3:D9" si="0">C3/B3</f>
        <v>0.16949152542372881</v>
      </c>
      <c r="E3">
        <v>527.67000000000007</v>
      </c>
    </row>
    <row r="4" spans="1:5" x14ac:dyDescent="0.45">
      <c r="A4" t="s">
        <v>53</v>
      </c>
      <c r="B4">
        <v>65</v>
      </c>
      <c r="C4">
        <v>7</v>
      </c>
      <c r="D4" s="4">
        <f t="shared" si="0"/>
        <v>0.1076923076923077</v>
      </c>
      <c r="E4">
        <v>263.56999999999994</v>
      </c>
    </row>
    <row r="5" spans="1:5" x14ac:dyDescent="0.45">
      <c r="A5" t="s">
        <v>73</v>
      </c>
      <c r="B5">
        <v>56</v>
      </c>
      <c r="C5">
        <v>6</v>
      </c>
      <c r="D5" s="4">
        <f t="shared" si="0"/>
        <v>0.10714285714285714</v>
      </c>
      <c r="E5">
        <v>232.04</v>
      </c>
    </row>
    <row r="6" spans="1:5" x14ac:dyDescent="0.45">
      <c r="A6" t="s">
        <v>82</v>
      </c>
      <c r="B6">
        <v>63</v>
      </c>
      <c r="C6">
        <v>6</v>
      </c>
      <c r="D6" s="4">
        <f t="shared" si="0"/>
        <v>9.5238095238095233E-2</v>
      </c>
      <c r="E6">
        <v>257.17</v>
      </c>
    </row>
    <row r="7" spans="1:5" x14ac:dyDescent="0.45">
      <c r="A7" t="s">
        <v>93</v>
      </c>
      <c r="B7">
        <v>53</v>
      </c>
      <c r="C7">
        <v>5</v>
      </c>
      <c r="D7" s="4">
        <f t="shared" si="0"/>
        <v>9.4339622641509441E-2</v>
      </c>
      <c r="E7">
        <v>131.68</v>
      </c>
    </row>
    <row r="8" spans="1:5" x14ac:dyDescent="0.45">
      <c r="A8" t="s">
        <v>21</v>
      </c>
      <c r="B8">
        <v>57</v>
      </c>
      <c r="C8">
        <v>5</v>
      </c>
      <c r="D8" s="4">
        <f t="shared" si="0"/>
        <v>8.771929824561403E-2</v>
      </c>
      <c r="E8">
        <v>352.02</v>
      </c>
    </row>
    <row r="9" spans="1:5" x14ac:dyDescent="0.45">
      <c r="A9" t="s">
        <v>42</v>
      </c>
      <c r="B9">
        <v>70</v>
      </c>
      <c r="C9">
        <v>6</v>
      </c>
      <c r="D9" s="4">
        <f t="shared" si="0"/>
        <v>8.5714285714285715E-2</v>
      </c>
      <c r="E9">
        <v>242.26000000000002</v>
      </c>
    </row>
    <row r="10" spans="1:5" x14ac:dyDescent="0.45">
      <c r="D10" s="4"/>
    </row>
    <row r="11" spans="1:5" x14ac:dyDescent="0.45">
      <c r="D11" s="4"/>
    </row>
    <row r="12" spans="1:5" x14ac:dyDescent="0.45">
      <c r="D12" s="4"/>
    </row>
    <row r="13" spans="1:5" x14ac:dyDescent="0.45">
      <c r="D13" s="4"/>
    </row>
    <row r="14" spans="1:5" x14ac:dyDescent="0.45">
      <c r="D14" s="4"/>
    </row>
    <row r="15" spans="1:5" x14ac:dyDescent="0.45">
      <c r="D15" s="4"/>
    </row>
    <row r="16" spans="1:5" x14ac:dyDescent="0.45">
      <c r="D16" s="4"/>
    </row>
    <row r="18" spans="4:4" x14ac:dyDescent="0.45">
      <c r="D18" s="4"/>
    </row>
    <row r="19" spans="4:4" x14ac:dyDescent="0.45">
      <c r="D19" s="4"/>
    </row>
    <row r="20" spans="4:4" x14ac:dyDescent="0.45">
      <c r="D20" s="4"/>
    </row>
    <row r="21" spans="4:4" x14ac:dyDescent="0.45">
      <c r="D21" s="4"/>
    </row>
    <row r="22" spans="4:4" x14ac:dyDescent="0.45">
      <c r="D22" s="4"/>
    </row>
    <row r="23" spans="4:4" x14ac:dyDescent="0.45">
      <c r="D2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FA024-4454-442A-929F-5E75CE3E3CF5}">
  <dimension ref="A1:E5"/>
  <sheetViews>
    <sheetView workbookViewId="0">
      <selection activeCell="E2" sqref="E2"/>
    </sheetView>
  </sheetViews>
  <sheetFormatPr defaultRowHeight="14.25" x14ac:dyDescent="0.45"/>
  <cols>
    <col min="1" max="1" width="12.1328125" bestFit="1" customWidth="1"/>
    <col min="2" max="2" width="14.46484375" bestFit="1" customWidth="1"/>
    <col min="3" max="3" width="12" bestFit="1" customWidth="1"/>
    <col min="4" max="4" width="13.19921875" bestFit="1" customWidth="1"/>
    <col min="5" max="5" width="17.46484375" bestFit="1" customWidth="1"/>
  </cols>
  <sheetData>
    <row r="1" spans="1:5" ht="14.35" customHeight="1" x14ac:dyDescent="0.45">
      <c r="A1" s="5" t="s">
        <v>17</v>
      </c>
      <c r="B1" s="5" t="s">
        <v>555</v>
      </c>
      <c r="C1" s="5" t="s">
        <v>551</v>
      </c>
      <c r="D1" s="5" t="s">
        <v>556</v>
      </c>
      <c r="E1" s="5" t="s">
        <v>557</v>
      </c>
    </row>
    <row r="2" spans="1:5" x14ac:dyDescent="0.45">
      <c r="A2" t="s">
        <v>26</v>
      </c>
      <c r="B2" cm="1">
        <f t="array" ref="B2:B5">COUNTIF('raw data'!R2:R486,'lookup season'!A2:A5)</f>
        <v>128</v>
      </c>
      <c r="C2" cm="1">
        <f t="array" ref="C2:C5">COUNTIFS('raw data'!R2:R486,'lookup season'!A2:A5,'raw data'!N2:N486,"Non-Compliant")</f>
        <v>23</v>
      </c>
      <c r="D2" s="4">
        <f>C2/B2</f>
        <v>0.1796875</v>
      </c>
      <c r="E2" cm="1">
        <f t="array" ref="E2:E5">SUMIF('raw data'!R2:R486,'lookup season'!A2:A5,'raw data'!S2:S486)</f>
        <v>1145.07</v>
      </c>
    </row>
    <row r="3" spans="1:5" x14ac:dyDescent="0.45">
      <c r="A3" t="s">
        <v>46</v>
      </c>
      <c r="B3">
        <v>104</v>
      </c>
      <c r="C3">
        <v>7</v>
      </c>
      <c r="D3" s="4">
        <f t="shared" ref="D3:D5" si="0">C3/B3</f>
        <v>6.7307692307692304E-2</v>
      </c>
      <c r="E3">
        <v>367.80000000000007</v>
      </c>
    </row>
    <row r="4" spans="1:5" x14ac:dyDescent="0.45">
      <c r="A4" t="s">
        <v>32</v>
      </c>
      <c r="B4">
        <v>184</v>
      </c>
      <c r="C4">
        <v>17</v>
      </c>
      <c r="D4" s="4">
        <f t="shared" si="0"/>
        <v>9.2391304347826081E-2</v>
      </c>
      <c r="E4">
        <v>645.81000000000006</v>
      </c>
    </row>
    <row r="5" spans="1:5" x14ac:dyDescent="0.45">
      <c r="A5" t="s">
        <v>62</v>
      </c>
      <c r="B5">
        <v>69</v>
      </c>
      <c r="C5">
        <v>10</v>
      </c>
      <c r="D5" s="4">
        <f t="shared" si="0"/>
        <v>0.14492753623188406</v>
      </c>
      <c r="E5">
        <v>407.53999999999996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584DA-317A-4FD1-AA91-9ED38C12FEE3}">
  <dimension ref="A1:E6"/>
  <sheetViews>
    <sheetView workbookViewId="0">
      <selection activeCell="E2" sqref="E2:E6"/>
    </sheetView>
  </sheetViews>
  <sheetFormatPr defaultRowHeight="14.25" x14ac:dyDescent="0.45"/>
  <cols>
    <col min="1" max="1" width="16" bestFit="1" customWidth="1"/>
    <col min="2" max="2" width="14.46484375" bestFit="1" customWidth="1"/>
    <col min="3" max="3" width="12" bestFit="1" customWidth="1"/>
    <col min="4" max="4" width="13.19921875" bestFit="1" customWidth="1"/>
    <col min="5" max="5" width="17.46484375" bestFit="1" customWidth="1"/>
  </cols>
  <sheetData>
    <row r="1" spans="1:5" ht="15.85" customHeight="1" x14ac:dyDescent="0.45">
      <c r="A1" s="5" t="s">
        <v>1</v>
      </c>
      <c r="B1" s="5" t="s">
        <v>555</v>
      </c>
      <c r="C1" s="5" t="s">
        <v>551</v>
      </c>
      <c r="D1" s="5" t="s">
        <v>556</v>
      </c>
      <c r="E1" s="5" t="s">
        <v>557</v>
      </c>
    </row>
    <row r="2" spans="1:5" x14ac:dyDescent="0.45">
      <c r="A2" t="s">
        <v>37</v>
      </c>
      <c r="B2" cm="1">
        <f t="array" ref="B2:B6">COUNTIF('raw data'!B2:B486,'lookup product'!A2:A6)</f>
        <v>100</v>
      </c>
      <c r="C2" cm="1">
        <f t="array" ref="C2:C6">COUNTIFS('raw data'!B2:B486,'lookup product'!A2:A6,'raw data'!N2:N486,"Non-Compliant")</f>
        <v>14</v>
      </c>
      <c r="D2" s="4">
        <f>C2/B2</f>
        <v>0.14000000000000001</v>
      </c>
      <c r="E2" cm="1">
        <f t="array" ref="E2:E6">SUMIF('raw data'!B2:B486,'lookup product'!A2:A6,'raw data'!S2:S486)</f>
        <v>687.27</v>
      </c>
    </row>
    <row r="3" spans="1:5" x14ac:dyDescent="0.45">
      <c r="A3" t="s">
        <v>52</v>
      </c>
      <c r="B3">
        <v>85</v>
      </c>
      <c r="C3">
        <v>11</v>
      </c>
      <c r="D3" s="4">
        <f t="shared" ref="D3:D6" si="0">C3/B3</f>
        <v>0.12941176470588237</v>
      </c>
      <c r="E3">
        <v>576.87000000000012</v>
      </c>
    </row>
    <row r="4" spans="1:5" x14ac:dyDescent="0.45">
      <c r="A4" t="s">
        <v>48</v>
      </c>
      <c r="B4">
        <v>101</v>
      </c>
      <c r="C4">
        <v>12</v>
      </c>
      <c r="D4" s="4">
        <f t="shared" si="0"/>
        <v>0.11881188118811881</v>
      </c>
      <c r="E4">
        <v>403.15000000000003</v>
      </c>
    </row>
    <row r="5" spans="1:5" x14ac:dyDescent="0.45">
      <c r="A5" t="s">
        <v>20</v>
      </c>
      <c r="B5">
        <v>101</v>
      </c>
      <c r="C5">
        <v>11</v>
      </c>
      <c r="D5" s="4">
        <f t="shared" si="0"/>
        <v>0.10891089108910891</v>
      </c>
      <c r="E5">
        <v>572.45000000000005</v>
      </c>
    </row>
    <row r="6" spans="1:5" x14ac:dyDescent="0.45">
      <c r="A6" t="s">
        <v>28</v>
      </c>
      <c r="B6">
        <v>98</v>
      </c>
      <c r="C6">
        <v>9</v>
      </c>
      <c r="D6" s="4">
        <f t="shared" si="0"/>
        <v>9.1836734693877556E-2</v>
      </c>
      <c r="E6">
        <v>326.48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5D3B5-0A2F-4E5A-942C-CB0985F789C5}">
  <dimension ref="A1:F11"/>
  <sheetViews>
    <sheetView workbookViewId="0">
      <selection activeCell="B2" sqref="B2"/>
    </sheetView>
  </sheetViews>
  <sheetFormatPr defaultRowHeight="14.25" x14ac:dyDescent="0.45"/>
  <cols>
    <col min="1" max="1" width="17.46484375" bestFit="1" customWidth="1"/>
    <col min="2" max="2" width="16" bestFit="1" customWidth="1"/>
    <col min="3" max="3" width="15.73046875" bestFit="1" customWidth="1"/>
    <col min="4" max="4" width="18.06640625" bestFit="1" customWidth="1"/>
    <col min="5" max="5" width="17.46484375" bestFit="1" customWidth="1"/>
    <col min="7" max="7" width="15.59765625" bestFit="1" customWidth="1"/>
  </cols>
  <sheetData>
    <row r="1" spans="1:6" x14ac:dyDescent="0.45">
      <c r="A1" t="s">
        <v>558</v>
      </c>
      <c r="C1" t="s">
        <v>3</v>
      </c>
      <c r="D1" t="s">
        <v>563</v>
      </c>
      <c r="E1" t="s">
        <v>564</v>
      </c>
      <c r="F1" t="s">
        <v>565</v>
      </c>
    </row>
    <row r="2" spans="1:6" x14ac:dyDescent="0.45">
      <c r="A2" t="s">
        <v>1</v>
      </c>
      <c r="B2" t="s">
        <v>48</v>
      </c>
      <c r="C2" t="s">
        <v>78</v>
      </c>
      <c r="D2" s="4">
        <f>($B$5*VLOOKUP(C2,'lookup vendor'!$A$2:$D$6,4,0))+($B$6*VLOOKUP($B$3,'lookup route'!$A$2:$D$9,4,0))+($B$7*VLOOKUP($B$4,'lookup season'!$A$2:$D$5,4,0))+($B$8*VLOOKUP($B$2,'lookup product'!$A$2:$D$6,4,0))</f>
        <v>0.13955716779950855</v>
      </c>
      <c r="E2">
        <f>D2*VLOOKUP(C2,'lookup vendor'!$A$2:$F$6,6,0)</f>
        <v>6.2500414283598955</v>
      </c>
      <c r="F2">
        <f>RANK(E2,$E$2:$E$6,1)</f>
        <v>5</v>
      </c>
    </row>
    <row r="3" spans="1:6" x14ac:dyDescent="0.45">
      <c r="A3" t="s">
        <v>2</v>
      </c>
      <c r="B3" t="s">
        <v>93</v>
      </c>
      <c r="C3" t="s">
        <v>29</v>
      </c>
      <c r="D3" s="4">
        <f>($B$5*VLOOKUP(C3,'lookup vendor'!$A$2:$D$6,4,0))+($B$6*VLOOKUP($B$3,'lookup route'!$A$2:$D$9,4,0))+($B$7*VLOOKUP($B$4,'lookup season'!$A$2:$D$5,4,0))+($B$8*VLOOKUP($B$2,'lookup product'!$A$2:$D$6,4,0))</f>
        <v>0.107612407626742</v>
      </c>
      <c r="E3">
        <f>D3*VLOOKUP(C3,'lookup vendor'!$A$2:$F$6,6,0)</f>
        <v>4.7236401501006826</v>
      </c>
      <c r="F3">
        <f t="shared" ref="F3:F6" si="0">RANK(E3,$E$2:$E$6,1)</f>
        <v>4</v>
      </c>
    </row>
    <row r="4" spans="1:6" x14ac:dyDescent="0.45">
      <c r="A4" t="s">
        <v>17</v>
      </c>
      <c r="B4" t="s">
        <v>46</v>
      </c>
      <c r="C4" t="s">
        <v>50</v>
      </c>
      <c r="D4" s="4">
        <f>($B$5*VLOOKUP(C4,'lookup vendor'!$A$2:$D$6,4,0))+($B$6*VLOOKUP($B$3,'lookup route'!$A$2:$D$9,4,0))+($B$7*VLOOKUP($B$4,'lookup season'!$A$2:$D$5,4,0))+($B$8*VLOOKUP($B$2,'lookup product'!$A$2:$D$6,4,0))</f>
        <v>9.5898886877076664E-2</v>
      </c>
      <c r="E4">
        <f>D4*VLOOKUP(C4,'lookup vendor'!$A$2:$F$6,6,0)</f>
        <v>4.1300453948394349</v>
      </c>
      <c r="F4">
        <f t="shared" si="0"/>
        <v>3</v>
      </c>
    </row>
    <row r="5" spans="1:6" x14ac:dyDescent="0.45">
      <c r="A5" t="s">
        <v>562</v>
      </c>
      <c r="B5">
        <v>0.35</v>
      </c>
      <c r="C5" t="s">
        <v>22</v>
      </c>
      <c r="D5" s="4">
        <f>($B$5*VLOOKUP(C5,'lookup vendor'!$A$2:$D$6,4,0))+($B$6*VLOOKUP($B$3,'lookup route'!$A$2:$D$9,4,0))+($B$7*VLOOKUP($B$4,'lookup season'!$A$2:$D$5,4,0))+($B$8*VLOOKUP($B$2,'lookup product'!$A$2:$D$6,4,0))</f>
        <v>7.4731516975529558E-2</v>
      </c>
      <c r="E5">
        <f>D5*VLOOKUP(C5,'lookup vendor'!$A$2:$F$6,6,0)</f>
        <v>3.0585055782947133</v>
      </c>
      <c r="F5">
        <f t="shared" si="0"/>
        <v>1</v>
      </c>
    </row>
    <row r="6" spans="1:6" x14ac:dyDescent="0.45">
      <c r="A6" t="s">
        <v>559</v>
      </c>
      <c r="B6">
        <v>0.3</v>
      </c>
      <c r="C6" t="s">
        <v>56</v>
      </c>
      <c r="D6" s="4">
        <f>($B$5*VLOOKUP(C6,'lookup vendor'!$A$2:$D$6,4,0))+($B$6*VLOOKUP($B$3,'lookup route'!$A$2:$D$9,4,0))+($B$7*VLOOKUP($B$4,'lookup season'!$A$2:$D$5,4,0))+($B$8*VLOOKUP($B$2,'lookup product'!$A$2:$D$6,4,0))</f>
        <v>7.3836921065110861E-2</v>
      </c>
      <c r="E6">
        <f>D6*VLOOKUP(C6,'lookup vendor'!$A$2:$F$6,6,0)</f>
        <v>3.2210149864983371</v>
      </c>
      <c r="F6">
        <f t="shared" si="0"/>
        <v>2</v>
      </c>
    </row>
    <row r="7" spans="1:6" x14ac:dyDescent="0.45">
      <c r="A7" t="s">
        <v>560</v>
      </c>
      <c r="B7">
        <v>0.25</v>
      </c>
    </row>
    <row r="8" spans="1:6" x14ac:dyDescent="0.45">
      <c r="A8" t="s">
        <v>561</v>
      </c>
      <c r="B8">
        <v>0.1</v>
      </c>
    </row>
    <row r="9" spans="1:6" x14ac:dyDescent="0.45">
      <c r="B9">
        <f>SUM(B5:B8)</f>
        <v>0.99999999999999989</v>
      </c>
    </row>
    <row r="11" spans="1:6" x14ac:dyDescent="0.45">
      <c r="A11" t="s">
        <v>566</v>
      </c>
      <c r="B11" t="str">
        <f>INDEX($C$2:$C$6,MATCH(1,$F$2:$F$6,0))</f>
        <v>ChillChain Pvt Ltd</v>
      </c>
    </row>
  </sheetData>
  <dataValidations count="3">
    <dataValidation type="list" allowBlank="1" showInputMessage="1" showErrorMessage="1" sqref="B2" xr:uid="{6334D5F7-D875-4F63-80AE-91AAB6E3ED4B}">
      <formula1>"Trastuzumab,MMR Vaccine,Hepatitis-B Vaccine,Adalimumab,Insulin"</formula1>
    </dataValidation>
    <dataValidation type="list" allowBlank="1" showInputMessage="1" showErrorMessage="1" sqref="B3" xr:uid="{970D1B4E-CEBE-4112-83CA-E7D5462D5741}">
      <formula1>"Mumbai-Delhi,Delhi-Jaipur,Chennai-Bangalore,Bangalore-Chennai,Hyderabad-Mumbai,Kolkata-Guwahati,Mumbai-Hyderabad,Delhi-Kolkata"</formula1>
    </dataValidation>
    <dataValidation type="list" allowBlank="1" showInputMessage="1" showErrorMessage="1" sqref="B4" xr:uid="{B6ACC03F-23FA-4BBE-82A2-FFC4514DAB41}">
      <formula1>"Winter,Summer,Monsoon,Post-Monsoon"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F2963-1F1E-452C-8585-4D0D6C21C30E}">
  <dimension ref="A1:B18"/>
  <sheetViews>
    <sheetView topLeftCell="A4" workbookViewId="0">
      <selection activeCell="B15" sqref="B15:B18"/>
    </sheetView>
  </sheetViews>
  <sheetFormatPr defaultRowHeight="14.25" x14ac:dyDescent="0.45"/>
  <cols>
    <col min="1" max="1" width="31.59765625" bestFit="1" customWidth="1"/>
    <col min="2" max="2" width="16" bestFit="1" customWidth="1"/>
  </cols>
  <sheetData>
    <row r="1" spans="1:2" x14ac:dyDescent="0.45">
      <c r="A1" s="2" t="s">
        <v>568</v>
      </c>
    </row>
    <row r="2" spans="1:2" x14ac:dyDescent="0.45">
      <c r="A2" t="s">
        <v>569</v>
      </c>
    </row>
    <row r="3" spans="1:2" x14ac:dyDescent="0.45">
      <c r="A3" t="s">
        <v>570</v>
      </c>
      <c r="B3" t="str">
        <f>model!B2</f>
        <v>Hepatitis-B Vaccine</v>
      </c>
    </row>
    <row r="4" spans="1:2" x14ac:dyDescent="0.45">
      <c r="A4" t="s">
        <v>2</v>
      </c>
      <c r="B4" t="str">
        <f>model!B3</f>
        <v>Kolkata-Guwahati</v>
      </c>
    </row>
    <row r="5" spans="1:2" x14ac:dyDescent="0.45">
      <c r="A5" t="s">
        <v>17</v>
      </c>
      <c r="B5" t="str">
        <f>model!B4</f>
        <v>Summer</v>
      </c>
    </row>
    <row r="6" spans="1:2" x14ac:dyDescent="0.45">
      <c r="A6" t="s">
        <v>571</v>
      </c>
      <c r="B6" t="str" cm="1">
        <f t="array" ref="B6">INDEX(model!C2:C6,MATCH(MAX(COUNTIFS('raw data'!B2:B486,'savings calculator'!B3,'raw data'!C2:C486,'savings calculator'!B4,'raw data'!R2:R486,'savings calculator'!B5,'raw data'!D2:D486,model!C2:C6)),COUNTIFS('raw data'!B2:B486,'savings calculator'!B3,'raw data'!C2:C486,'savings calculator'!B4,'raw data'!R2:R486,'savings calculator'!B5,'raw data'!D2:D486,model!C2:C6),0))</f>
        <v>MediCargo Express</v>
      </c>
    </row>
    <row r="7" spans="1:2" x14ac:dyDescent="0.45">
      <c r="A7" t="s">
        <v>572</v>
      </c>
      <c r="B7" t="str">
        <f>INDEX(model!C2:C6,MATCH(1,model!F2:F6,0))</f>
        <v>ChillChain Pvt Ltd</v>
      </c>
    </row>
    <row r="8" spans="1:2" x14ac:dyDescent="0.45">
      <c r="A8" t="s">
        <v>573</v>
      </c>
      <c r="B8" s="4">
        <f>VLOOKUP(B6,'lookup vendor'!A2:D6,4,0)</f>
        <v>0.14457831325301204</v>
      </c>
    </row>
    <row r="9" spans="1:2" x14ac:dyDescent="0.45">
      <c r="A9" t="s">
        <v>574</v>
      </c>
      <c r="B9" s="4">
        <f>VLOOKUP(B7,'lookup vendor'!A2:D6,4,0)</f>
        <v>5.0632911392405063E-2</v>
      </c>
    </row>
    <row r="10" spans="1:2" x14ac:dyDescent="0.45">
      <c r="A10" t="s">
        <v>575</v>
      </c>
      <c r="B10" s="6">
        <f>B8-B9</f>
        <v>9.3945401860606986E-2</v>
      </c>
    </row>
    <row r="11" spans="1:2" x14ac:dyDescent="0.45">
      <c r="A11" t="s">
        <v>580</v>
      </c>
      <c r="B11">
        <f>B8*VLOOKUP(B6,'lookup vendor'!A2:F6,6,0)</f>
        <v>6.3462563507040226</v>
      </c>
    </row>
    <row r="12" spans="1:2" x14ac:dyDescent="0.45">
      <c r="A12" t="s">
        <v>581</v>
      </c>
      <c r="B12">
        <f>B9*VLOOKUP(B7,'lookup vendor'!A2:F6,6,0)</f>
        <v>2.0722320141003059</v>
      </c>
    </row>
    <row r="13" spans="1:2" x14ac:dyDescent="0.45">
      <c r="A13" t="s">
        <v>576</v>
      </c>
      <c r="B13">
        <f>B11-B12</f>
        <v>4.2740243366037163</v>
      </c>
    </row>
    <row r="14" spans="1:2" x14ac:dyDescent="0.45">
      <c r="A14" s="2" t="s">
        <v>579</v>
      </c>
    </row>
    <row r="15" spans="1:2" x14ac:dyDescent="0.45">
      <c r="A15" t="s">
        <v>578</v>
      </c>
      <c r="B15">
        <f>SUM('raw data'!S2:S486)</f>
        <v>2566.2199999999998</v>
      </c>
    </row>
    <row r="16" spans="1:2" x14ac:dyDescent="0.45">
      <c r="A16" t="s">
        <v>577</v>
      </c>
      <c r="B16" cm="1">
        <f t="array" ref="B16">SUMPRODUCT(('raw data'!N2:N486="Non-Compliant")*'raw data'!L2:L486*MIN(('lookup vendor'!D2:D6)))</f>
        <v>123.37596153846158</v>
      </c>
    </row>
    <row r="17" spans="1:2" x14ac:dyDescent="0.45">
      <c r="A17" t="s">
        <v>582</v>
      </c>
      <c r="B17">
        <f>B15-B16</f>
        <v>2442.8440384615383</v>
      </c>
    </row>
    <row r="18" spans="1:2" x14ac:dyDescent="0.45">
      <c r="A18" t="s">
        <v>583</v>
      </c>
      <c r="B18" s="4">
        <f>B17/B15</f>
        <v>0.95192307692307687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FA6EA-975D-4E29-BB5C-E26570A514B2}">
  <dimension ref="A1:F25"/>
  <sheetViews>
    <sheetView tabSelected="1" workbookViewId="0">
      <selection activeCell="E16" sqref="E16"/>
    </sheetView>
  </sheetViews>
  <sheetFormatPr defaultRowHeight="14.25" x14ac:dyDescent="0.45"/>
  <cols>
    <col min="1" max="1" width="54.59765625" customWidth="1"/>
    <col min="3" max="3" width="51.46484375" customWidth="1"/>
    <col min="5" max="5" width="42.19921875" customWidth="1"/>
  </cols>
  <sheetData>
    <row r="1" spans="1:6" ht="33.4" x14ac:dyDescent="1">
      <c r="A1" s="10" t="s">
        <v>590</v>
      </c>
      <c r="B1" s="10"/>
      <c r="C1" s="10"/>
      <c r="D1" s="10"/>
      <c r="E1" s="10"/>
      <c r="F1" s="11"/>
    </row>
    <row r="3" spans="1:6" ht="15.75" x14ac:dyDescent="0.5">
      <c r="A3" s="7" t="s">
        <v>584</v>
      </c>
      <c r="C3" s="7" t="s">
        <v>587</v>
      </c>
      <c r="E3" s="7" t="s">
        <v>589</v>
      </c>
    </row>
    <row r="4" spans="1:6" ht="16.899999999999999" customHeight="1" x14ac:dyDescent="0.45">
      <c r="A4" s="9"/>
      <c r="C4" s="8"/>
    </row>
    <row r="5" spans="1:6" ht="16.899999999999999" customHeight="1" x14ac:dyDescent="0.45">
      <c r="A5" s="9"/>
      <c r="C5" s="8"/>
    </row>
    <row r="6" spans="1:6" x14ac:dyDescent="0.45">
      <c r="A6" s="9"/>
      <c r="C6" s="8"/>
    </row>
    <row r="7" spans="1:6" x14ac:dyDescent="0.45">
      <c r="A7" s="9"/>
      <c r="C7" s="8"/>
    </row>
    <row r="8" spans="1:6" x14ac:dyDescent="0.45">
      <c r="A8" s="9"/>
      <c r="C8" s="8"/>
    </row>
    <row r="10" spans="1:6" ht="15.75" x14ac:dyDescent="0.5">
      <c r="A10" s="7" t="s">
        <v>585</v>
      </c>
    </row>
    <row r="11" spans="1:6" ht="15.75" x14ac:dyDescent="0.5">
      <c r="A11" s="8"/>
      <c r="C11" s="7" t="s">
        <v>588</v>
      </c>
    </row>
    <row r="12" spans="1:6" x14ac:dyDescent="0.45">
      <c r="A12" s="8"/>
      <c r="C12" s="8"/>
    </row>
    <row r="13" spans="1:6" x14ac:dyDescent="0.45">
      <c r="A13" s="8"/>
      <c r="C13" s="8"/>
    </row>
    <row r="14" spans="1:6" x14ac:dyDescent="0.45">
      <c r="A14" s="8"/>
      <c r="C14" s="8"/>
    </row>
    <row r="15" spans="1:6" x14ac:dyDescent="0.45">
      <c r="A15" s="8"/>
      <c r="C15" s="8"/>
    </row>
    <row r="16" spans="1:6" x14ac:dyDescent="0.45">
      <c r="C16" s="8"/>
    </row>
    <row r="17" spans="1:3" ht="15.75" x14ac:dyDescent="0.5">
      <c r="A17" s="7" t="s">
        <v>586</v>
      </c>
      <c r="C17" s="8"/>
    </row>
    <row r="18" spans="1:3" x14ac:dyDescent="0.45">
      <c r="A18" s="8"/>
    </row>
    <row r="19" spans="1:3" x14ac:dyDescent="0.45">
      <c r="A19" s="8"/>
    </row>
    <row r="20" spans="1:3" x14ac:dyDescent="0.45">
      <c r="A20" s="8"/>
    </row>
    <row r="21" spans="1:3" x14ac:dyDescent="0.45">
      <c r="A21" s="8"/>
    </row>
    <row r="22" spans="1:3" x14ac:dyDescent="0.45">
      <c r="A22" s="8"/>
    </row>
    <row r="23" spans="1:3" x14ac:dyDescent="0.45">
      <c r="A23" s="8"/>
    </row>
    <row r="24" spans="1:3" x14ac:dyDescent="0.45">
      <c r="A24" s="8"/>
    </row>
    <row r="25" spans="1:3" x14ac:dyDescent="0.45">
      <c r="A25" s="8"/>
    </row>
  </sheetData>
  <mergeCells count="6">
    <mergeCell ref="A1:E1"/>
    <mergeCell ref="A4:A8"/>
    <mergeCell ref="A11:A15"/>
    <mergeCell ref="A18:A25"/>
    <mergeCell ref="C4:C8"/>
    <mergeCell ref="C12:C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lookup vendor</vt:lpstr>
      <vt:lpstr>lookup route</vt:lpstr>
      <vt:lpstr>lookup season</vt:lpstr>
      <vt:lpstr>lookup product</vt:lpstr>
      <vt:lpstr>model</vt:lpstr>
      <vt:lpstr>savings calculator</vt:lpstr>
      <vt:lpstr>methodology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Sanskriti Kesharwani</dc:creator>
  <cp:lastModifiedBy>Sanskriti Kesharwani</cp:lastModifiedBy>
  <dcterms:created xsi:type="dcterms:W3CDTF">2026-07-06T15:41:20Z</dcterms:created>
  <dcterms:modified xsi:type="dcterms:W3CDTF">2026-07-12T14:20:14Z</dcterms:modified>
</cp:coreProperties>
</file>